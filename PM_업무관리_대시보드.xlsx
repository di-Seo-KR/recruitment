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사용법" sheetId="1" state="visible" r:id="rId1"/>
    <sheet name="대시보드" sheetId="2" state="visible" r:id="rId2"/>
    <sheet name="칸반보드" sheetId="3" state="visible" r:id="rId3"/>
    <sheet name="업무목록" sheetId="4" state="visible" r:id="rId4"/>
    <sheet name="설정" sheetId="5" state="visible" r:id="rId5"/>
  </sheets>
  <definedNames>
    <definedName name="StatusList">설정!$A$4:$A$6</definedName>
    <definedName name="PriorityList">설정!$B$4:$B$6</definedName>
    <definedName name="MemberList">설정!$C$4:$C$13</definedName>
    <definedName name="_xlnm._FilterDatabase" localSheetId="3" hidden="1">'업무목록'!$A$1:$K$201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&quot;%&quot;"/>
  </numFmts>
  <fonts count="21">
    <font>
      <name val="Calibri"/>
      <family val="2"/>
      <color theme="1"/>
      <sz val="11"/>
      <scheme val="minor"/>
    </font>
    <font>
      <name val="맑은 고딕"/>
      <b val="1"/>
      <color rgb="000B0B0B"/>
      <sz val="14"/>
    </font>
    <font>
      <name val="맑은 고딕"/>
      <color rgb="00898781"/>
      <sz val="9"/>
    </font>
    <font>
      <name val="맑은 고딕"/>
      <b val="1"/>
      <color rgb="00FFFFFF"/>
      <sz val="10"/>
    </font>
    <font>
      <name val="맑은 고딕"/>
      <color rgb="000B0B0B"/>
      <sz val="10"/>
    </font>
    <font>
      <name val="맑은 고딕"/>
      <color rgb="00898781"/>
      <sz val="8"/>
    </font>
    <font>
      <name val="맑은 고딕"/>
      <b val="1"/>
      <color rgb="000B0B0B"/>
      <sz val="16"/>
    </font>
    <font>
      <name val="맑은 고딕"/>
      <b val="1"/>
      <color rgb="00FFFFFF"/>
      <sz val="11"/>
    </font>
    <font>
      <name val="맑은 고딕"/>
      <color rgb="0052514E"/>
      <sz val="10"/>
    </font>
    <font>
      <name val="맑은 고딕"/>
      <b val="1"/>
      <color rgb="000B0B0B"/>
      <sz val="18"/>
    </font>
    <font>
      <name val="맑은 고딕"/>
      <b val="1"/>
      <color rgb="0052514E"/>
      <sz val="10"/>
    </font>
    <font>
      <name val="맑은 고딕"/>
      <b val="1"/>
      <color rgb="000B0B0B"/>
      <sz val="20"/>
    </font>
    <font>
      <name val="맑은 고딕"/>
      <b val="1"/>
      <color rgb="0052514E"/>
      <sz val="20"/>
    </font>
    <font>
      <name val="맑은 고딕"/>
      <b val="1"/>
      <color rgb="002A78D6"/>
      <sz val="20"/>
    </font>
    <font>
      <name val="맑은 고딕"/>
      <b val="1"/>
      <color rgb="00006300"/>
      <sz val="20"/>
    </font>
    <font>
      <name val="맑은 고딕"/>
      <b val="1"/>
      <color rgb="001C5CAB"/>
      <sz val="20"/>
    </font>
    <font>
      <name val="맑은 고딕"/>
      <b val="1"/>
      <color rgb="00D03B3B"/>
      <sz val="20"/>
    </font>
    <font>
      <name val="맑은 고딕"/>
      <b val="1"/>
      <color rgb="000B0B0B"/>
      <sz val="12"/>
    </font>
    <font>
      <name val="맑은 고딕"/>
      <b val="1"/>
      <color rgb="0052514E"/>
      <sz val="9"/>
    </font>
    <font>
      <name val="맑은 고딕"/>
      <b val="1"/>
      <color rgb="00006300"/>
      <sz val="10"/>
    </font>
    <font>
      <name val="맑은 고딕"/>
      <color rgb="00D03B3B"/>
      <sz val="10"/>
    </font>
  </fonts>
  <fills count="11">
    <fill>
      <patternFill/>
    </fill>
    <fill>
      <patternFill patternType="gray125"/>
    </fill>
    <fill>
      <patternFill patternType="solid">
        <fgColor rgb="0052514E"/>
      </patternFill>
    </fill>
    <fill>
      <patternFill patternType="solid">
        <fgColor rgb="000CA30C"/>
      </patternFill>
    </fill>
    <fill>
      <patternFill patternType="solid">
        <fgColor rgb="00FFFFFF"/>
      </patternFill>
    </fill>
    <fill>
      <patternFill patternType="solid">
        <fgColor rgb="00DFF2DF"/>
      </patternFill>
    </fill>
    <fill>
      <patternFill patternType="solid">
        <fgColor rgb="00898781"/>
      </patternFill>
    </fill>
    <fill>
      <patternFill patternType="solid">
        <fgColor rgb="002A78D6"/>
      </patternFill>
    </fill>
    <fill>
      <patternFill patternType="solid">
        <fgColor rgb="00F9F9F7"/>
      </patternFill>
    </fill>
    <fill>
      <patternFill patternType="solid">
        <fgColor rgb="00FCFCFB"/>
      </patternFill>
    </fill>
    <fill>
      <patternFill patternType="solid">
        <fgColor rgb="00F0EFEC"/>
      </patternFill>
    </fill>
  </fills>
  <borders count="8">
    <border>
      <left/>
      <right/>
      <top/>
      <bottom/>
      <diagonal/>
    </border>
    <border>
      <left style="thin">
        <color rgb="00E1E0D9"/>
      </left>
      <right style="thin">
        <color rgb="00E1E0D9"/>
      </right>
      <top style="thin">
        <color rgb="00E1E0D9"/>
      </top>
      <bottom style="thin">
        <color rgb="00E1E0D9"/>
      </bottom>
    </border>
    <border>
      <bottom style="medium">
        <color rgb="000B0B0B"/>
      </bottom>
    </border>
    <border>
      <bottom style="thin">
        <color rgb="00E1E0D9"/>
      </bottom>
    </border>
    <border>
      <left style="thin">
        <color rgb="00E1E0D9"/>
      </left>
      <right/>
      <top style="thin">
        <color rgb="00E1E0D9"/>
      </top>
      <bottom/>
    </border>
    <border>
      <left/>
      <right style="thin">
        <color rgb="00E1E0D9"/>
      </right>
      <top style="thin">
        <color rgb="00E1E0D9"/>
      </top>
      <bottom/>
    </border>
    <border>
      <left style="thin">
        <color rgb="00E1E0D9"/>
      </left>
      <right/>
      <top/>
      <bottom style="thin">
        <color rgb="00E1E0D9"/>
      </bottom>
    </border>
    <border>
      <left/>
      <right style="thin">
        <color rgb="00E1E0D9"/>
      </right>
      <top/>
      <bottom style="thin">
        <color rgb="00E1E0D9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8" borderId="0" pivotButton="0" quotePrefix="0" xfId="0"/>
    <xf numFmtId="0" fontId="9" fillId="8" borderId="0" applyAlignment="1" pivotButton="0" quotePrefix="0" xfId="0">
      <alignment vertical="center"/>
    </xf>
    <xf numFmtId="0" fontId="2" fillId="8" borderId="0" applyAlignment="1" pivotButton="0" quotePrefix="0" xfId="0">
      <alignment horizontal="right" vertical="center"/>
    </xf>
    <xf numFmtId="164" fontId="10" fillId="8" borderId="0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bottom"/>
    </xf>
    <xf numFmtId="0" fontId="0" fillId="0" borderId="5" pivotButton="0" quotePrefix="0" xfId="0"/>
    <xf numFmtId="1" fontId="11" fillId="9" borderId="6" applyAlignment="1" pivotButton="0" quotePrefix="0" xfId="0">
      <alignment horizontal="center" vertical="center"/>
    </xf>
    <xf numFmtId="0" fontId="0" fillId="0" borderId="7" pivotButton="0" quotePrefix="0" xfId="0"/>
    <xf numFmtId="1" fontId="12" fillId="9" borderId="6" applyAlignment="1" pivotButton="0" quotePrefix="0" xfId="0">
      <alignment horizontal="center" vertical="center"/>
    </xf>
    <xf numFmtId="1" fontId="13" fillId="9" borderId="6" applyAlignment="1" pivotButton="0" quotePrefix="0" xfId="0">
      <alignment horizontal="center" vertical="center"/>
    </xf>
    <xf numFmtId="1" fontId="14" fillId="9" borderId="6" applyAlignment="1" pivotButton="0" quotePrefix="0" xfId="0">
      <alignment horizontal="center" vertical="center"/>
    </xf>
    <xf numFmtId="9" fontId="15" fillId="9" borderId="6" applyAlignment="1" pivotButton="0" quotePrefix="0" xfId="0">
      <alignment horizontal="center" vertical="center"/>
    </xf>
    <xf numFmtId="1" fontId="16" fillId="9" borderId="6" applyAlignment="1" pivotButton="0" quotePrefix="0" xfId="0">
      <alignment horizontal="center" vertical="center"/>
    </xf>
    <xf numFmtId="0" fontId="17" fillId="8" borderId="0" pivotButton="0" quotePrefix="0" xfId="0"/>
    <xf numFmtId="0" fontId="18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9" fontId="4" fillId="9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0" borderId="0" pivotButton="0" quotePrefix="0" xfId="0"/>
    <xf numFmtId="0" fontId="7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  <xf numFmtId="0" fontId="3" fillId="2" borderId="2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164" fontId="4" fillId="0" borderId="3" applyAlignment="1" pivotButton="0" quotePrefix="0" xfId="0">
      <alignment horizontal="center" vertical="center"/>
    </xf>
    <xf numFmtId="165" fontId="4" fillId="0" borderId="3" applyAlignment="1" pivotButton="0" quotePrefix="0" xfId="0">
      <alignment horizontal="center" vertical="center"/>
    </xf>
    <xf numFmtId="0" fontId="1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1">
    <dxf>
      <fill>
        <patternFill patternType="solid">
          <fgColor rgb="00F0EFEC"/>
        </patternFill>
      </fill>
      <border>
        <left style="thin">
          <color rgb="00C3C2B7"/>
        </left>
        <right style="thin">
          <color rgb="00C3C2B7"/>
        </right>
        <top style="thin">
          <color rgb="00C3C2B7"/>
        </top>
        <bottom style="thin">
          <color rgb="00C3C2B7"/>
        </bottom>
      </border>
    </dxf>
    <dxf>
      <fill>
        <patternFill patternType="solid">
          <fgColor rgb="00CDE2FB"/>
        </patternFill>
      </fill>
      <border>
        <left style="thin">
          <color rgb="0086B6EF"/>
        </left>
        <right style="thin">
          <color rgb="0086B6EF"/>
        </right>
        <top style="thin">
          <color rgb="0086B6EF"/>
        </top>
        <bottom style="thin">
          <color rgb="0086B6EF"/>
        </bottom>
      </border>
    </dxf>
    <dxf>
      <fill>
        <patternFill patternType="solid">
          <fgColor rgb="00DFF2DF"/>
        </patternFill>
      </fill>
      <border>
        <left style="thin">
          <color rgb="00A5D6A5"/>
        </left>
        <right style="thin">
          <color rgb="00A5D6A5"/>
        </right>
        <top style="thin">
          <color rgb="00A5D6A5"/>
        </top>
        <bottom style="thin">
          <color rgb="00A5D6A5"/>
        </bottom>
      </border>
    </dxf>
    <dxf>
      <font>
        <name val="맑은 고딕"/>
        <b val="1"/>
        <color rgb="0052514E"/>
        <sz val="10"/>
      </font>
      <fill>
        <patternFill patternType="solid">
          <fgColor rgb="00F0EFEC"/>
        </patternFill>
      </fill>
    </dxf>
    <dxf>
      <font>
        <name val="맑은 고딕"/>
        <b val="1"/>
        <color rgb="001C5CAB"/>
        <sz val="10"/>
      </font>
      <fill>
        <patternFill patternType="solid">
          <fgColor rgb="00CDE2FB"/>
        </patternFill>
      </fill>
    </dxf>
    <dxf>
      <font>
        <name val="맑은 고딕"/>
        <b val="1"/>
        <color rgb="00006300"/>
        <sz val="10"/>
      </font>
      <fill>
        <patternFill patternType="solid">
          <fgColor rgb="00DFF2DF"/>
        </patternFill>
      </fill>
    </dxf>
    <dxf>
      <font>
        <name val="맑은 고딕"/>
        <b val="1"/>
        <color rgb="00D03B3B"/>
        <sz val="10"/>
      </font>
      <fill>
        <patternFill patternType="solid">
          <fgColor rgb="00F7DEDE"/>
        </patternFill>
      </fill>
    </dxf>
    <dxf>
      <font>
        <name val="맑은 고딕"/>
        <color rgb="00C98500"/>
        <sz val="10"/>
      </font>
      <fill>
        <patternFill patternType="solid">
          <fgColor rgb="00FDF2D9"/>
        </patternFill>
      </fill>
    </dxf>
    <dxf>
      <font>
        <name val="맑은 고딕"/>
        <color rgb="00898781"/>
        <sz val="10"/>
      </font>
    </dxf>
    <dxf>
      <font>
        <name val="맑은 고딕"/>
        <b val="1"/>
        <color rgb="00D03B3B"/>
        <sz val="10"/>
      </font>
    </dxf>
    <dxf>
      <fill>
        <patternFill patternType="solid">
          <fgColor rgb="00FB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상태별 업무 현황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'대시보드'!C8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898781"/>
              </a:solidFill>
              <a:ln>
                <a:prstDash val="solid"/>
              </a:ln>
            </spPr>
          </dPt>
          <dPt>
            <idx val="1"/>
            <spPr>
              <a:solidFill>
                <a:srgbClr val="2A78D6"/>
              </a:solidFill>
              <a:ln>
                <a:prstDash val="solid"/>
              </a:ln>
            </spPr>
          </dPt>
          <dPt>
            <idx val="2"/>
            <spPr>
              <a:solidFill>
                <a:srgbClr val="0CA30C"/>
              </a:solidFill>
              <a:ln>
                <a:prstDash val="solid"/>
              </a:ln>
            </spPr>
          </dPt>
          <cat>
            <numRef>
              <f>'대시보드'!$B$9:$B$11</f>
            </numRef>
          </cat>
          <val>
            <numRef>
              <f>'대시보드'!$C$9:$C$11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우선순위 분포</a:t>
            </a:r>
          </a:p>
        </rich>
      </tx>
    </title>
    <plotArea>
      <doughnutChart>
        <varyColors val="1"/>
        <ser>
          <idx val="0"/>
          <order val="0"/>
          <tx>
            <strRef>
              <f>'대시보드'!F8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D03B3B"/>
              </a:solidFill>
              <a:ln>
                <a:prstDash val="solid"/>
              </a:ln>
            </spPr>
          </dPt>
          <dPt>
            <idx val="1"/>
            <spPr>
              <a:solidFill>
                <a:srgbClr val="C98500"/>
              </a:solidFill>
              <a:ln>
                <a:prstDash val="solid"/>
              </a:ln>
            </spPr>
          </dPt>
          <dPt>
            <idx val="2"/>
            <spPr>
              <a:solidFill>
                <a:srgbClr val="898781"/>
              </a:solidFill>
              <a:ln>
                <a:prstDash val="solid"/>
              </a:ln>
            </spPr>
          </dPt>
          <cat>
            <numRef>
              <f>'대시보드'!$E$9:$E$11</f>
            </numRef>
          </cat>
          <val>
            <numRef>
              <f>'대시보드'!$F$9:$F$11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담당자별 업무 현황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'대시보드'!I8</f>
            </strRef>
          </tx>
          <spPr>
            <a:solidFill>
              <a:srgbClr val="898781"/>
            </a:solidFill>
            <a:ln>
              <a:prstDash val="solid"/>
            </a:ln>
          </spPr>
          <cat>
            <numRef>
              <f>'대시보드'!$H$9:$H$18</f>
            </numRef>
          </cat>
          <val>
            <numRef>
              <f>'대시보드'!$I$9:$I$18</f>
            </numRef>
          </val>
        </ser>
        <ser>
          <idx val="1"/>
          <order val="1"/>
          <tx>
            <strRef>
              <f>'대시보드'!J8</f>
            </strRef>
          </tx>
          <spPr>
            <a:solidFill>
              <a:srgbClr val="2A78D6"/>
            </a:solidFill>
            <a:ln>
              <a:prstDash val="solid"/>
            </a:ln>
          </spPr>
          <cat>
            <numRef>
              <f>'대시보드'!$H$9:$H$18</f>
            </numRef>
          </cat>
          <val>
            <numRef>
              <f>'대시보드'!$J$9:$J$18</f>
            </numRef>
          </val>
        </ser>
        <ser>
          <idx val="2"/>
          <order val="2"/>
          <tx>
            <strRef>
              <f>'대시보드'!K8</f>
            </strRef>
          </tx>
          <spPr>
            <a:solidFill>
              <a:srgbClr val="0CA30C"/>
            </a:solidFill>
            <a:ln>
              <a:prstDash val="solid"/>
            </a:ln>
          </spPr>
          <cat>
            <numRef>
              <f>'대시보드'!$H$9:$H$18</f>
            </numRef>
          </cat>
          <val>
            <numRef>
              <f>'대시보드'!$K$9:$K$18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288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13</row>
      <rowOff>0</rowOff>
    </from>
    <ext cx="288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13</row>
      <rowOff>0</rowOff>
    </from>
    <ext cx="432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898781"/>
    <outlinePr summaryBelow="1" summaryRight="1"/>
    <pageSetUpPr/>
  </sheetPr>
  <dimension ref="B2:B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 ht="24" customHeight="1">
      <c r="B2" s="1" t="inlineStr">
        <is>
          <t>🗂 PM 업무관리 대시보드 — 사용법</t>
        </is>
      </c>
    </row>
    <row r="3" ht="18" customHeight="1">
      <c r="B3" s="2" t="inlineStr">
        <is>
          <t>To Do / Doing / Done 칸반 방식으로 업무를 관리하는 PM용 일정관리 툴입니다.</t>
        </is>
      </c>
    </row>
    <row r="4" ht="18" customHeight="1">
      <c r="B4" s="3" t="inlineStr"/>
    </row>
    <row r="5" ht="24" customHeight="1">
      <c r="B5" s="4" t="inlineStr">
        <is>
          <t>■ 시트 구성</t>
        </is>
      </c>
    </row>
    <row r="6" ht="18" customHeight="1">
      <c r="B6" s="3" t="inlineStr">
        <is>
          <t xml:space="preserve">   📊 대시보드 : 전체 현황 요약 — 자동 계산되므로 직접 입력하지 않습니다.</t>
        </is>
      </c>
    </row>
    <row r="7" ht="18" customHeight="1">
      <c r="B7" s="3" t="inlineStr">
        <is>
          <t xml:space="preserve">   🗂 칸반보드 : To Do / Doing / Done 보드 — 자동 갱신되므로 직접 입력하지 않습니다.</t>
        </is>
      </c>
    </row>
    <row r="8" ht="18" customHeight="1">
      <c r="B8" s="5" t="inlineStr">
        <is>
          <t xml:space="preserve">   ✏️ 업무목록 : ★ 실제로 입력하는 시트입니다. 업무 추가/수정은 모두 여기서 하세요.</t>
        </is>
      </c>
    </row>
    <row r="9" ht="18" customHeight="1">
      <c r="B9" s="3" t="inlineStr">
        <is>
          <t xml:space="preserve">   ⚙️ 설정 : 담당자 드롭다운 목록을 관리합니다.</t>
        </is>
      </c>
    </row>
    <row r="10" ht="18" customHeight="1">
      <c r="B10" s="3" t="inlineStr"/>
    </row>
    <row r="11" ht="24" customHeight="1">
      <c r="B11" s="4" t="inlineStr">
        <is>
          <t>■ 업무 추가하기 (업무목록 시트)</t>
        </is>
      </c>
    </row>
    <row r="12" ht="18" customHeight="1">
      <c r="B12" s="3" t="inlineStr">
        <is>
          <t xml:space="preserve">   1) 비어 있는 행에 '업무명'부터 입력하세요.</t>
        </is>
      </c>
    </row>
    <row r="13" ht="18" customHeight="1">
      <c r="B13" s="3" t="inlineStr">
        <is>
          <t xml:space="preserve">   2) 담당자 / 우선순위 / 상태는 셀을 클릭하면 나오는 드롭다운(▼)에서 선택하세요.</t>
        </is>
      </c>
    </row>
    <row r="14" ht="18" customHeight="1">
      <c r="B14" s="3" t="inlineStr">
        <is>
          <t xml:space="preserve">   3) 시작일 / 마감일은 날짜로 입력하세요. 예: 2026-07-10</t>
        </is>
      </c>
    </row>
    <row r="15" ht="18" customHeight="1">
      <c r="B15" s="3" t="inlineStr">
        <is>
          <t xml:space="preserve">   4) 진행률은 0~100 사이 숫자로 입력하세요.</t>
        </is>
      </c>
    </row>
    <row r="16" ht="18" customHeight="1">
      <c r="B16" s="3" t="inlineStr">
        <is>
          <t xml:space="preserve">   5) No. 열과 D-Day 열은 자동 계산되므로 입력하지 마세요.</t>
        </is>
      </c>
    </row>
    <row r="17" ht="18" customHeight="1">
      <c r="B17" s="3" t="inlineStr"/>
    </row>
    <row r="18" ht="24" customHeight="1">
      <c r="B18" s="4" t="inlineStr">
        <is>
          <t>■ 업무 상태 바꾸기</t>
        </is>
      </c>
    </row>
    <row r="19" ht="18" customHeight="1">
      <c r="B19" s="3" t="inlineStr">
        <is>
          <t xml:space="preserve">   '상태' 열 드롭다운에서 To Do → Doing → Done 으로 바꾸면 칸반보드와 대시보드에 즉시 반영됩니다.</t>
        </is>
      </c>
    </row>
    <row r="20" ht="18" customHeight="1">
      <c r="B20" s="3" t="inlineStr"/>
    </row>
    <row r="21" ht="24" customHeight="1">
      <c r="B21" s="4" t="inlineStr">
        <is>
          <t>■ 자동 표시 규칙</t>
        </is>
      </c>
    </row>
    <row r="22" ht="18" customHeight="1">
      <c r="B22" s="3" t="inlineStr">
        <is>
          <t xml:space="preserve">   · 마감일이 지났는데 Done이 아닌 업무 → 행 전체가 붉게 표시되고 D-Day에 '⚠ n일 지연'</t>
        </is>
      </c>
    </row>
    <row r="23" ht="18" customHeight="1">
      <c r="B23" s="3" t="inlineStr">
        <is>
          <t xml:space="preserve">   · 오늘이 마감일 → '🔔 오늘 마감'</t>
        </is>
      </c>
    </row>
    <row r="24" ht="18" customHeight="1">
      <c r="B24" s="3" t="inlineStr">
        <is>
          <t xml:space="preserve">   · 완료(Done)된 업무 → 글자가 회색 처리</t>
        </is>
      </c>
    </row>
    <row r="25" ht="18" customHeight="1">
      <c r="B25" s="3" t="inlineStr">
        <is>
          <t xml:space="preserve">   · 우선순위 '높음' → 빨간색 강조, 칸반 카드에 🔺 표시</t>
        </is>
      </c>
    </row>
    <row r="26" ht="18" customHeight="1">
      <c r="B26" s="3" t="inlineStr"/>
    </row>
    <row r="27" ht="24" customHeight="1">
      <c r="B27" s="4" t="inlineStr">
        <is>
          <t>■ 담당자 목록 수정 (설정 시트)</t>
        </is>
      </c>
    </row>
    <row r="28" ht="18" customHeight="1">
      <c r="B28" s="3" t="inlineStr">
        <is>
          <t xml:space="preserve">   초록색 담당자 칸(C4~C13)에서 이름을 바꾸거나 추가하세요. 최대 10명까지 가능합니다.</t>
        </is>
      </c>
    </row>
    <row r="29" ht="18" customHeight="1">
      <c r="B29" s="6" t="inlineStr">
        <is>
          <t xml:space="preserve">   상태(To Do/Doing/Done)와 우선순위(높음/중간/낮음) 목록은 수식과 연결되어 있으니 바꾸지 마세요.</t>
        </is>
      </c>
    </row>
    <row r="30" ht="18" customHeight="1">
      <c r="B30" s="3" t="inlineStr"/>
    </row>
    <row r="31" ht="24" customHeight="1">
      <c r="B31" s="4" t="inlineStr">
        <is>
          <t>■ 알아두면 좋은 점</t>
        </is>
      </c>
    </row>
    <row r="32" ht="18" customHeight="1">
      <c r="B32" s="3" t="inlineStr">
        <is>
          <t xml:space="preserve">   · 업무는 200행까지 서식과 자동 수식이 미리 적용되어 있습니다. 더 필요하면 마지막 행을 복사해 아래로 붙여넣으세요.</t>
        </is>
      </c>
    </row>
    <row r="33" ht="18" customHeight="1">
      <c r="B33" s="3" t="inlineStr">
        <is>
          <t xml:space="preserve">   · 칸반보드는 각 열에서 위에서부터 30개까지 표시합니다.</t>
        </is>
      </c>
    </row>
    <row r="34" ht="18" customHeight="1">
      <c r="B34" s="3" t="inlineStr">
        <is>
          <t xml:space="preserve">   · D-Day와 지연 표시는 파일을 여는 시점의 '오늘' 날짜 기준으로 자동 계산됩니다.</t>
        </is>
      </c>
    </row>
    <row r="35" ht="18" customHeight="1">
      <c r="B35" s="3" t="inlineStr">
        <is>
          <t xml:space="preserve">   · 처음에 들어 있는 예시 업무 12건은 자유롭게 지우고 사용하세요.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78D6"/>
    <outlinePr summaryBelow="1" summaryRight="1"/>
    <pageSetUpPr/>
  </sheetPr>
  <dimension ref="A1:R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</cols>
  <sheetData>
    <row r="1" ht="32" customHeight="1">
      <c r="A1" s="7" t="n"/>
      <c r="B1" s="8" t="inlineStr">
        <is>
          <t>📊 PM 업무 대시보드</t>
        </is>
      </c>
      <c r="H1" s="7" t="n"/>
      <c r="I1" s="7" t="n"/>
      <c r="J1" s="7" t="n"/>
      <c r="K1" s="9" t="inlineStr">
        <is>
          <t>기준일</t>
        </is>
      </c>
      <c r="L1" s="10">
        <f>TODAY()</f>
        <v/>
      </c>
      <c r="N1" s="7" t="n"/>
      <c r="O1" s="7" t="n"/>
      <c r="P1" s="7" t="n"/>
      <c r="Q1" s="7" t="n"/>
      <c r="R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</row>
    <row r="3" ht="20" customHeight="1">
      <c r="A3" s="7" t="n"/>
      <c r="B3" s="11" t="inlineStr">
        <is>
          <t>전체 업무</t>
        </is>
      </c>
      <c r="C3" s="12" t="n"/>
      <c r="D3" s="11" t="inlineStr">
        <is>
          <t>To Do</t>
        </is>
      </c>
      <c r="E3" s="12" t="n"/>
      <c r="F3" s="11" t="inlineStr">
        <is>
          <t>Doing</t>
        </is>
      </c>
      <c r="G3" s="12" t="n"/>
      <c r="H3" s="11" t="inlineStr">
        <is>
          <t>Done</t>
        </is>
      </c>
      <c r="I3" s="12" t="n"/>
      <c r="J3" s="11" t="inlineStr">
        <is>
          <t>완료율</t>
        </is>
      </c>
      <c r="K3" s="12" t="n"/>
      <c r="L3" s="11" t="inlineStr">
        <is>
          <t>지연 업무</t>
        </is>
      </c>
      <c r="M3" s="12" t="n"/>
      <c r="N3" s="7" t="n"/>
      <c r="O3" s="7" t="n"/>
      <c r="P3" s="7" t="n"/>
      <c r="Q3" s="7" t="n"/>
      <c r="R3" s="7" t="n"/>
    </row>
    <row r="4" ht="38" customHeight="1">
      <c r="A4" s="7" t="n"/>
      <c r="B4" s="13">
        <f>COUNTIF(업무목록!$B$2:$B$201,"&lt;&gt;")</f>
        <v/>
      </c>
      <c r="C4" s="14" t="n"/>
      <c r="D4" s="15">
        <f>COUNTIF(업무목록!$F$2:$F$201,"To Do")</f>
        <v/>
      </c>
      <c r="E4" s="14" t="n"/>
      <c r="F4" s="16">
        <f>COUNTIF(업무목록!$F$2:$F$201,"Doing")</f>
        <v/>
      </c>
      <c r="G4" s="14" t="n"/>
      <c r="H4" s="17">
        <f>COUNTIF(업무목록!$F$2:$F$201,"Done")</f>
        <v/>
      </c>
      <c r="I4" s="14" t="n"/>
      <c r="J4" s="18">
        <f>IFERROR(COUNTIF(업무목록!$F$2:$F$201,"Done")/COUNTIF(업무목록!$B$2:$B$201,"&lt;&gt;"),0)</f>
        <v/>
      </c>
      <c r="K4" s="14" t="n"/>
      <c r="L4" s="19">
        <f>COUNTIFS(업무목록!$B$2:$B$201,"&lt;&gt;",업무목록!$F$2:$F$201,"&lt;&gt;Done",업무목록!$H$2:$H$201,"&lt;"&amp;TODAY())</f>
        <v/>
      </c>
      <c r="M4" s="14" t="n"/>
      <c r="N4" s="7" t="n"/>
      <c r="O4" s="7" t="n"/>
      <c r="P4" s="7" t="n"/>
      <c r="Q4" s="7" t="n"/>
      <c r="R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</row>
    <row r="7">
      <c r="A7" s="7" t="n"/>
      <c r="B7" s="20" t="inlineStr">
        <is>
          <t>상태별 현황</t>
        </is>
      </c>
      <c r="C7" s="7" t="n"/>
      <c r="D7" s="7" t="n"/>
      <c r="E7" s="20" t="inlineStr">
        <is>
          <t>우선순위별 현황</t>
        </is>
      </c>
      <c r="F7" s="7" t="n"/>
      <c r="G7" s="7" t="n"/>
      <c r="H7" s="20" t="inlineStr">
        <is>
          <t>담당자별 현황</t>
        </is>
      </c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>
      <c r="A8" s="7" t="n"/>
      <c r="B8" s="21" t="inlineStr">
        <is>
          <t>상태</t>
        </is>
      </c>
      <c r="C8" s="21" t="inlineStr">
        <is>
          <t>건수</t>
        </is>
      </c>
      <c r="D8" s="7" t="n"/>
      <c r="E8" s="21" t="inlineStr">
        <is>
          <t>우선순위</t>
        </is>
      </c>
      <c r="F8" s="21" t="inlineStr">
        <is>
          <t>건수</t>
        </is>
      </c>
      <c r="G8" s="7" t="n"/>
      <c r="H8" s="21" t="inlineStr">
        <is>
          <t>담당자</t>
        </is>
      </c>
      <c r="I8" s="21" t="inlineStr">
        <is>
          <t>To Do</t>
        </is>
      </c>
      <c r="J8" s="21" t="inlineStr">
        <is>
          <t>Doing</t>
        </is>
      </c>
      <c r="K8" s="21" t="inlineStr">
        <is>
          <t>Done</t>
        </is>
      </c>
      <c r="L8" s="21" t="inlineStr">
        <is>
          <t>합계</t>
        </is>
      </c>
      <c r="M8" s="21" t="inlineStr">
        <is>
          <t>완료율</t>
        </is>
      </c>
      <c r="N8" s="7" t="n"/>
      <c r="O8" s="7" t="n"/>
      <c r="P8" s="7" t="n"/>
      <c r="Q8" s="7" t="n"/>
      <c r="R8" s="7" t="n"/>
    </row>
    <row r="9">
      <c r="A9" s="7" t="n"/>
      <c r="B9" s="22" t="inlineStr">
        <is>
          <t>To Do</t>
        </is>
      </c>
      <c r="C9" s="22">
        <f>COUNTIF(업무목록!$F$2:$F$201,$B9)</f>
        <v/>
      </c>
      <c r="D9" s="7" t="n"/>
      <c r="E9" s="22" t="inlineStr">
        <is>
          <t>높음</t>
        </is>
      </c>
      <c r="F9" s="22">
        <f>COUNTIF(업무목록!$E$2:$E$201,$E9)</f>
        <v/>
      </c>
      <c r="G9" s="7" t="n"/>
      <c r="H9" s="22">
        <f>IF(설정!$C4="","",설정!$C4)</f>
        <v/>
      </c>
      <c r="I9" s="22">
        <f>IF($H9="","",COUNTIFS(업무목록!$D$2:$D$201,$H9,업무목록!$F$2:$F$201,"To Do"))</f>
        <v/>
      </c>
      <c r="J9" s="22">
        <f>IF($H9="","",COUNTIFS(업무목록!$D$2:$D$201,$H9,업무목록!$F$2:$F$201,"Doing"))</f>
        <v/>
      </c>
      <c r="K9" s="22">
        <f>IF($H9="","",COUNTIFS(업무목록!$D$2:$D$201,$H9,업무목록!$F$2:$F$201,"Done"))</f>
        <v/>
      </c>
      <c r="L9" s="22">
        <f>IF($H9="","",$I9+$J9+$K9)</f>
        <v/>
      </c>
      <c r="M9" s="23">
        <f>IF($H9="","",IF($L9=0,"—",$K9/$L9))</f>
        <v/>
      </c>
      <c r="N9" s="7" t="n"/>
      <c r="O9" s="7" t="n"/>
      <c r="P9" s="7" t="n"/>
      <c r="Q9" s="7" t="n"/>
      <c r="R9" s="7" t="n"/>
    </row>
    <row r="10">
      <c r="A10" s="7" t="n"/>
      <c r="B10" s="22" t="inlineStr">
        <is>
          <t>Doing</t>
        </is>
      </c>
      <c r="C10" s="22">
        <f>COUNTIF(업무목록!$F$2:$F$201,$B10)</f>
        <v/>
      </c>
      <c r="D10" s="7" t="n"/>
      <c r="E10" s="22" t="inlineStr">
        <is>
          <t>중간</t>
        </is>
      </c>
      <c r="F10" s="22">
        <f>COUNTIF(업무목록!$E$2:$E$201,$E10)</f>
        <v/>
      </c>
      <c r="G10" s="7" t="n"/>
      <c r="H10" s="22">
        <f>IF(설정!$C5="","",설정!$C5)</f>
        <v/>
      </c>
      <c r="I10" s="22">
        <f>IF($H10="","",COUNTIFS(업무목록!$D$2:$D$201,$H10,업무목록!$F$2:$F$201,"To Do"))</f>
        <v/>
      </c>
      <c r="J10" s="22">
        <f>IF($H10="","",COUNTIFS(업무목록!$D$2:$D$201,$H10,업무목록!$F$2:$F$201,"Doing"))</f>
        <v/>
      </c>
      <c r="K10" s="22">
        <f>IF($H10="","",COUNTIFS(업무목록!$D$2:$D$201,$H10,업무목록!$F$2:$F$201,"Done"))</f>
        <v/>
      </c>
      <c r="L10" s="22">
        <f>IF($H10="","",$I10+$J10+$K10)</f>
        <v/>
      </c>
      <c r="M10" s="23">
        <f>IF($H10="","",IF($L10=0,"—",$K10/$L10))</f>
        <v/>
      </c>
      <c r="N10" s="7" t="n"/>
      <c r="O10" s="7" t="n"/>
      <c r="P10" s="7" t="n"/>
      <c r="Q10" s="7" t="n"/>
      <c r="R10" s="7" t="n"/>
    </row>
    <row r="11">
      <c r="A11" s="7" t="n"/>
      <c r="B11" s="22" t="inlineStr">
        <is>
          <t>Done</t>
        </is>
      </c>
      <c r="C11" s="22">
        <f>COUNTIF(업무목록!$F$2:$F$201,$B11)</f>
        <v/>
      </c>
      <c r="D11" s="7" t="n"/>
      <c r="E11" s="22" t="inlineStr">
        <is>
          <t>낮음</t>
        </is>
      </c>
      <c r="F11" s="22">
        <f>COUNTIF(업무목록!$E$2:$E$201,$E11)</f>
        <v/>
      </c>
      <c r="G11" s="7" t="n"/>
      <c r="H11" s="22">
        <f>IF(설정!$C6="","",설정!$C6)</f>
        <v/>
      </c>
      <c r="I11" s="22">
        <f>IF($H11="","",COUNTIFS(업무목록!$D$2:$D$201,$H11,업무목록!$F$2:$F$201,"To Do"))</f>
        <v/>
      </c>
      <c r="J11" s="22">
        <f>IF($H11="","",COUNTIFS(업무목록!$D$2:$D$201,$H11,업무목록!$F$2:$F$201,"Doing"))</f>
        <v/>
      </c>
      <c r="K11" s="22">
        <f>IF($H11="","",COUNTIFS(업무목록!$D$2:$D$201,$H11,업무목록!$F$2:$F$201,"Done"))</f>
        <v/>
      </c>
      <c r="L11" s="22">
        <f>IF($H11="","",$I11+$J11+$K11)</f>
        <v/>
      </c>
      <c r="M11" s="23">
        <f>IF($H11="","",IF($L11=0,"—",$K11/$L11))</f>
        <v/>
      </c>
      <c r="N11" s="7" t="n"/>
      <c r="O11" s="7" t="n"/>
      <c r="P11" s="7" t="n"/>
      <c r="Q11" s="7" t="n"/>
      <c r="R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22">
        <f>IF(설정!$C7="","",설정!$C7)</f>
        <v/>
      </c>
      <c r="I12" s="22">
        <f>IF($H12="","",COUNTIFS(업무목록!$D$2:$D$201,$H12,업무목록!$F$2:$F$201,"To Do"))</f>
        <v/>
      </c>
      <c r="J12" s="22">
        <f>IF($H12="","",COUNTIFS(업무목록!$D$2:$D$201,$H12,업무목록!$F$2:$F$201,"Doing"))</f>
        <v/>
      </c>
      <c r="K12" s="22">
        <f>IF($H12="","",COUNTIFS(업무목록!$D$2:$D$201,$H12,업무목록!$F$2:$F$201,"Done"))</f>
        <v/>
      </c>
      <c r="L12" s="22">
        <f>IF($H12="","",$I12+$J12+$K12)</f>
        <v/>
      </c>
      <c r="M12" s="23">
        <f>IF($H12="","",IF($L12=0,"—",$K12/$L12))</f>
        <v/>
      </c>
      <c r="N12" s="7" t="n"/>
      <c r="O12" s="7" t="n"/>
      <c r="P12" s="7" t="n"/>
      <c r="Q12" s="7" t="n"/>
      <c r="R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22">
        <f>IF(설정!$C8="","",설정!$C8)</f>
        <v/>
      </c>
      <c r="I13" s="22">
        <f>IF($H13="","",COUNTIFS(업무목록!$D$2:$D$201,$H13,업무목록!$F$2:$F$201,"To Do"))</f>
        <v/>
      </c>
      <c r="J13" s="22">
        <f>IF($H13="","",COUNTIFS(업무목록!$D$2:$D$201,$H13,업무목록!$F$2:$F$201,"Doing"))</f>
        <v/>
      </c>
      <c r="K13" s="22">
        <f>IF($H13="","",COUNTIFS(업무목록!$D$2:$D$201,$H13,업무목록!$F$2:$F$201,"Done"))</f>
        <v/>
      </c>
      <c r="L13" s="22">
        <f>IF($H13="","",$I13+$J13+$K13)</f>
        <v/>
      </c>
      <c r="M13" s="23">
        <f>IF($H13="","",IF($L13=0,"—",$K13/$L13))</f>
        <v/>
      </c>
      <c r="N13" s="7" t="n"/>
      <c r="O13" s="7" t="n"/>
      <c r="P13" s="7" t="n"/>
      <c r="Q13" s="7" t="n"/>
      <c r="R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22">
        <f>IF(설정!$C9="","",설정!$C9)</f>
        <v/>
      </c>
      <c r="I14" s="22">
        <f>IF($H14="","",COUNTIFS(업무목록!$D$2:$D$201,$H14,업무목록!$F$2:$F$201,"To Do"))</f>
        <v/>
      </c>
      <c r="J14" s="22">
        <f>IF($H14="","",COUNTIFS(업무목록!$D$2:$D$201,$H14,업무목록!$F$2:$F$201,"Doing"))</f>
        <v/>
      </c>
      <c r="K14" s="22">
        <f>IF($H14="","",COUNTIFS(업무목록!$D$2:$D$201,$H14,업무목록!$F$2:$F$201,"Done"))</f>
        <v/>
      </c>
      <c r="L14" s="22">
        <f>IF($H14="","",$I14+$J14+$K14)</f>
        <v/>
      </c>
      <c r="M14" s="23">
        <f>IF($H14="","",IF($L14=0,"—",$K14/$L14))</f>
        <v/>
      </c>
      <c r="N14" s="7" t="n"/>
      <c r="O14" s="7" t="n"/>
      <c r="P14" s="7" t="n"/>
      <c r="Q14" s="7" t="n"/>
      <c r="R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22">
        <f>IF(설정!$C10="","",설정!$C10)</f>
        <v/>
      </c>
      <c r="I15" s="22">
        <f>IF($H15="","",COUNTIFS(업무목록!$D$2:$D$201,$H15,업무목록!$F$2:$F$201,"To Do"))</f>
        <v/>
      </c>
      <c r="J15" s="22">
        <f>IF($H15="","",COUNTIFS(업무목록!$D$2:$D$201,$H15,업무목록!$F$2:$F$201,"Doing"))</f>
        <v/>
      </c>
      <c r="K15" s="22">
        <f>IF($H15="","",COUNTIFS(업무목록!$D$2:$D$201,$H15,업무목록!$F$2:$F$201,"Done"))</f>
        <v/>
      </c>
      <c r="L15" s="22">
        <f>IF($H15="","",$I15+$J15+$K15)</f>
        <v/>
      </c>
      <c r="M15" s="23">
        <f>IF($H15="","",IF($L15=0,"—",$K15/$L15))</f>
        <v/>
      </c>
      <c r="N15" s="7" t="n"/>
      <c r="O15" s="7" t="n"/>
      <c r="P15" s="7" t="n"/>
      <c r="Q15" s="7" t="n"/>
      <c r="R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22">
        <f>IF(설정!$C11="","",설정!$C11)</f>
        <v/>
      </c>
      <c r="I16" s="22">
        <f>IF($H16="","",COUNTIFS(업무목록!$D$2:$D$201,$H16,업무목록!$F$2:$F$201,"To Do"))</f>
        <v/>
      </c>
      <c r="J16" s="22">
        <f>IF($H16="","",COUNTIFS(업무목록!$D$2:$D$201,$H16,업무목록!$F$2:$F$201,"Doing"))</f>
        <v/>
      </c>
      <c r="K16" s="22">
        <f>IF($H16="","",COUNTIFS(업무목록!$D$2:$D$201,$H16,업무목록!$F$2:$F$201,"Done"))</f>
        <v/>
      </c>
      <c r="L16" s="22">
        <f>IF($H16="","",$I16+$J16+$K16)</f>
        <v/>
      </c>
      <c r="M16" s="23">
        <f>IF($H16="","",IF($L16=0,"—",$K16/$L16))</f>
        <v/>
      </c>
      <c r="N16" s="7" t="n"/>
      <c r="O16" s="7" t="n"/>
      <c r="P16" s="7" t="n"/>
      <c r="Q16" s="7" t="n"/>
      <c r="R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22">
        <f>IF(설정!$C12="","",설정!$C12)</f>
        <v/>
      </c>
      <c r="I17" s="22">
        <f>IF($H17="","",COUNTIFS(업무목록!$D$2:$D$201,$H17,업무목록!$F$2:$F$201,"To Do"))</f>
        <v/>
      </c>
      <c r="J17" s="22">
        <f>IF($H17="","",COUNTIFS(업무목록!$D$2:$D$201,$H17,업무목록!$F$2:$F$201,"Doing"))</f>
        <v/>
      </c>
      <c r="K17" s="22">
        <f>IF($H17="","",COUNTIFS(업무목록!$D$2:$D$201,$H17,업무목록!$F$2:$F$201,"Done"))</f>
        <v/>
      </c>
      <c r="L17" s="22">
        <f>IF($H17="","",$I17+$J17+$K17)</f>
        <v/>
      </c>
      <c r="M17" s="23">
        <f>IF($H17="","",IF($L17=0,"—",$K17/$L17))</f>
        <v/>
      </c>
      <c r="N17" s="7" t="n"/>
      <c r="O17" s="7" t="n"/>
      <c r="P17" s="7" t="n"/>
      <c r="Q17" s="7" t="n"/>
      <c r="R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22">
        <f>IF(설정!$C13="","",설정!$C13)</f>
        <v/>
      </c>
      <c r="I18" s="22">
        <f>IF($H18="","",COUNTIFS(업무목록!$D$2:$D$201,$H18,업무목록!$F$2:$F$201,"To Do"))</f>
        <v/>
      </c>
      <c r="J18" s="22">
        <f>IF($H18="","",COUNTIFS(업무목록!$D$2:$D$201,$H18,업무목록!$F$2:$F$201,"Doing"))</f>
        <v/>
      </c>
      <c r="K18" s="22">
        <f>IF($H18="","",COUNTIFS(업무목록!$D$2:$D$201,$H18,업무목록!$F$2:$F$201,"Done"))</f>
        <v/>
      </c>
      <c r="L18" s="22">
        <f>IF($H18="","",$I18+$J18+$K18)</f>
        <v/>
      </c>
      <c r="M18" s="23">
        <f>IF($H18="","",IF($L18=0,"—",$K18/$L18))</f>
        <v/>
      </c>
      <c r="N18" s="7" t="n"/>
      <c r="O18" s="7" t="n"/>
      <c r="P18" s="7" t="n"/>
      <c r="Q18" s="7" t="n"/>
      <c r="R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</row>
  </sheetData>
  <mergeCells count="14">
    <mergeCell ref="F3:G3"/>
    <mergeCell ref="F4:G4"/>
    <mergeCell ref="J3:K3"/>
    <mergeCell ref="J4:K4"/>
    <mergeCell ref="L3:M3"/>
    <mergeCell ref="L4:M4"/>
    <mergeCell ref="B3:C3"/>
    <mergeCell ref="B1:G1"/>
    <mergeCell ref="L1:M1"/>
    <mergeCell ref="D4:E4"/>
    <mergeCell ref="H4:I4"/>
    <mergeCell ref="D3:E3"/>
    <mergeCell ref="B4:C4"/>
    <mergeCell ref="H3:I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8500"/>
    <outlinePr summaryBelow="1" summaryRight="1"/>
    <pageSetUpPr/>
  </sheetPr>
  <dimension ref="B2:F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2" customWidth="1" min="3" max="3"/>
    <col width="46" customWidth="1" min="4" max="4"/>
    <col width="2" customWidth="1" min="5" max="5"/>
    <col width="46" customWidth="1" min="6" max="6"/>
  </cols>
  <sheetData>
    <row r="2">
      <c r="B2" s="24" t="inlineStr">
        <is>
          <t>🗂 칸반 보드</t>
        </is>
      </c>
    </row>
    <row r="3">
      <c r="B3" s="25" t="inlineStr">
        <is>
          <t>업무목록 시트에서 상태를 바꾸면 자동으로 갱신됩니다. (열별 최대 30개 표시 · 🔺 우선순위 높음 · ⚠ 마감 지연)</t>
        </is>
      </c>
    </row>
    <row r="4" ht="26" customHeight="1">
      <c r="B4" s="26">
        <f>"To Do  ("&amp;COUNTIF(업무목록!$F$2:$F$201,"To Do")&amp;"건)"</f>
        <v/>
      </c>
      <c r="D4" s="27">
        <f>"Doing  ("&amp;COUNTIF(업무목록!$F$2:$F$201,"Doing")&amp;"건)"</f>
        <v/>
      </c>
      <c r="F4" s="28">
        <f>"Done  ("&amp;COUNTIF(업무목록!$F$2:$F$201,"Done")&amp;"건)"</f>
        <v/>
      </c>
    </row>
    <row r="5" ht="24" customHeight="1">
      <c r="B5" s="29">
        <f>IFERROR(INDEX(업무목록!$O$2:$O$201,MATCH(ROW()-4,업무목록!$L$2:$L$201,0)),"")</f>
        <v/>
      </c>
      <c r="D5" s="29">
        <f>IFERROR(INDEX(업무목록!$O$2:$O$201,MATCH(ROW()-4,업무목록!$M$2:$M$201,0)),"")</f>
        <v/>
      </c>
      <c r="F5" s="30">
        <f>IFERROR(INDEX(업무목록!$O$2:$O$201,MATCH(ROW()-4,업무목록!$N$2:$N$201,0)),"")</f>
        <v/>
      </c>
    </row>
    <row r="6" ht="24" customHeight="1">
      <c r="B6" s="29">
        <f>IFERROR(INDEX(업무목록!$O$2:$O$201,MATCH(ROW()-4,업무목록!$L$2:$L$201,0)),"")</f>
        <v/>
      </c>
      <c r="D6" s="29">
        <f>IFERROR(INDEX(업무목록!$O$2:$O$201,MATCH(ROW()-4,업무목록!$M$2:$M$201,0)),"")</f>
        <v/>
      </c>
      <c r="F6" s="30">
        <f>IFERROR(INDEX(업무목록!$O$2:$O$201,MATCH(ROW()-4,업무목록!$N$2:$N$201,0)),"")</f>
        <v/>
      </c>
    </row>
    <row r="7" ht="24" customHeight="1">
      <c r="B7" s="29">
        <f>IFERROR(INDEX(업무목록!$O$2:$O$201,MATCH(ROW()-4,업무목록!$L$2:$L$201,0)),"")</f>
        <v/>
      </c>
      <c r="D7" s="29">
        <f>IFERROR(INDEX(업무목록!$O$2:$O$201,MATCH(ROW()-4,업무목록!$M$2:$M$201,0)),"")</f>
        <v/>
      </c>
      <c r="F7" s="30">
        <f>IFERROR(INDEX(업무목록!$O$2:$O$201,MATCH(ROW()-4,업무목록!$N$2:$N$201,0)),"")</f>
        <v/>
      </c>
    </row>
    <row r="8" ht="24" customHeight="1">
      <c r="B8" s="29">
        <f>IFERROR(INDEX(업무목록!$O$2:$O$201,MATCH(ROW()-4,업무목록!$L$2:$L$201,0)),"")</f>
        <v/>
      </c>
      <c r="D8" s="29">
        <f>IFERROR(INDEX(업무목록!$O$2:$O$201,MATCH(ROW()-4,업무목록!$M$2:$M$201,0)),"")</f>
        <v/>
      </c>
      <c r="F8" s="30">
        <f>IFERROR(INDEX(업무목록!$O$2:$O$201,MATCH(ROW()-4,업무목록!$N$2:$N$201,0)),"")</f>
        <v/>
      </c>
    </row>
    <row r="9" ht="24" customHeight="1">
      <c r="B9" s="29">
        <f>IFERROR(INDEX(업무목록!$O$2:$O$201,MATCH(ROW()-4,업무목록!$L$2:$L$201,0)),"")</f>
        <v/>
      </c>
      <c r="D9" s="29">
        <f>IFERROR(INDEX(업무목록!$O$2:$O$201,MATCH(ROW()-4,업무목록!$M$2:$M$201,0)),"")</f>
        <v/>
      </c>
      <c r="F9" s="30">
        <f>IFERROR(INDEX(업무목록!$O$2:$O$201,MATCH(ROW()-4,업무목록!$N$2:$N$201,0)),"")</f>
        <v/>
      </c>
    </row>
    <row r="10" ht="24" customHeight="1">
      <c r="B10" s="29">
        <f>IFERROR(INDEX(업무목록!$O$2:$O$201,MATCH(ROW()-4,업무목록!$L$2:$L$201,0)),"")</f>
        <v/>
      </c>
      <c r="D10" s="29">
        <f>IFERROR(INDEX(업무목록!$O$2:$O$201,MATCH(ROW()-4,업무목록!$M$2:$M$201,0)),"")</f>
        <v/>
      </c>
      <c r="F10" s="30">
        <f>IFERROR(INDEX(업무목록!$O$2:$O$201,MATCH(ROW()-4,업무목록!$N$2:$N$201,0)),"")</f>
        <v/>
      </c>
    </row>
    <row r="11" ht="24" customHeight="1">
      <c r="B11" s="29">
        <f>IFERROR(INDEX(업무목록!$O$2:$O$201,MATCH(ROW()-4,업무목록!$L$2:$L$201,0)),"")</f>
        <v/>
      </c>
      <c r="D11" s="29">
        <f>IFERROR(INDEX(업무목록!$O$2:$O$201,MATCH(ROW()-4,업무목록!$M$2:$M$201,0)),"")</f>
        <v/>
      </c>
      <c r="F11" s="30">
        <f>IFERROR(INDEX(업무목록!$O$2:$O$201,MATCH(ROW()-4,업무목록!$N$2:$N$201,0)),"")</f>
        <v/>
      </c>
    </row>
    <row r="12" ht="24" customHeight="1">
      <c r="B12" s="29">
        <f>IFERROR(INDEX(업무목록!$O$2:$O$201,MATCH(ROW()-4,업무목록!$L$2:$L$201,0)),"")</f>
        <v/>
      </c>
      <c r="D12" s="29">
        <f>IFERROR(INDEX(업무목록!$O$2:$O$201,MATCH(ROW()-4,업무목록!$M$2:$M$201,0)),"")</f>
        <v/>
      </c>
      <c r="F12" s="30">
        <f>IFERROR(INDEX(업무목록!$O$2:$O$201,MATCH(ROW()-4,업무목록!$N$2:$N$201,0)),"")</f>
        <v/>
      </c>
    </row>
    <row r="13" ht="24" customHeight="1">
      <c r="B13" s="29">
        <f>IFERROR(INDEX(업무목록!$O$2:$O$201,MATCH(ROW()-4,업무목록!$L$2:$L$201,0)),"")</f>
        <v/>
      </c>
      <c r="D13" s="29">
        <f>IFERROR(INDEX(업무목록!$O$2:$O$201,MATCH(ROW()-4,업무목록!$M$2:$M$201,0)),"")</f>
        <v/>
      </c>
      <c r="F13" s="30">
        <f>IFERROR(INDEX(업무목록!$O$2:$O$201,MATCH(ROW()-4,업무목록!$N$2:$N$201,0)),"")</f>
        <v/>
      </c>
    </row>
    <row r="14" ht="24" customHeight="1">
      <c r="B14" s="29">
        <f>IFERROR(INDEX(업무목록!$O$2:$O$201,MATCH(ROW()-4,업무목록!$L$2:$L$201,0)),"")</f>
        <v/>
      </c>
      <c r="D14" s="29">
        <f>IFERROR(INDEX(업무목록!$O$2:$O$201,MATCH(ROW()-4,업무목록!$M$2:$M$201,0)),"")</f>
        <v/>
      </c>
      <c r="F14" s="30">
        <f>IFERROR(INDEX(업무목록!$O$2:$O$201,MATCH(ROW()-4,업무목록!$N$2:$N$201,0)),"")</f>
        <v/>
      </c>
    </row>
    <row r="15" ht="24" customHeight="1">
      <c r="B15" s="29">
        <f>IFERROR(INDEX(업무목록!$O$2:$O$201,MATCH(ROW()-4,업무목록!$L$2:$L$201,0)),"")</f>
        <v/>
      </c>
      <c r="D15" s="29">
        <f>IFERROR(INDEX(업무목록!$O$2:$O$201,MATCH(ROW()-4,업무목록!$M$2:$M$201,0)),"")</f>
        <v/>
      </c>
      <c r="F15" s="30">
        <f>IFERROR(INDEX(업무목록!$O$2:$O$201,MATCH(ROW()-4,업무목록!$N$2:$N$201,0)),"")</f>
        <v/>
      </c>
    </row>
    <row r="16" ht="24" customHeight="1">
      <c r="B16" s="29">
        <f>IFERROR(INDEX(업무목록!$O$2:$O$201,MATCH(ROW()-4,업무목록!$L$2:$L$201,0)),"")</f>
        <v/>
      </c>
      <c r="D16" s="29">
        <f>IFERROR(INDEX(업무목록!$O$2:$O$201,MATCH(ROW()-4,업무목록!$M$2:$M$201,0)),"")</f>
        <v/>
      </c>
      <c r="F16" s="30">
        <f>IFERROR(INDEX(업무목록!$O$2:$O$201,MATCH(ROW()-4,업무목록!$N$2:$N$201,0)),"")</f>
        <v/>
      </c>
    </row>
    <row r="17" ht="24" customHeight="1">
      <c r="B17" s="29">
        <f>IFERROR(INDEX(업무목록!$O$2:$O$201,MATCH(ROW()-4,업무목록!$L$2:$L$201,0)),"")</f>
        <v/>
      </c>
      <c r="D17" s="29">
        <f>IFERROR(INDEX(업무목록!$O$2:$O$201,MATCH(ROW()-4,업무목록!$M$2:$M$201,0)),"")</f>
        <v/>
      </c>
      <c r="F17" s="30">
        <f>IFERROR(INDEX(업무목록!$O$2:$O$201,MATCH(ROW()-4,업무목록!$N$2:$N$201,0)),"")</f>
        <v/>
      </c>
    </row>
    <row r="18" ht="24" customHeight="1">
      <c r="B18" s="29">
        <f>IFERROR(INDEX(업무목록!$O$2:$O$201,MATCH(ROW()-4,업무목록!$L$2:$L$201,0)),"")</f>
        <v/>
      </c>
      <c r="D18" s="29">
        <f>IFERROR(INDEX(업무목록!$O$2:$O$201,MATCH(ROW()-4,업무목록!$M$2:$M$201,0)),"")</f>
        <v/>
      </c>
      <c r="F18" s="30">
        <f>IFERROR(INDEX(업무목록!$O$2:$O$201,MATCH(ROW()-4,업무목록!$N$2:$N$201,0)),"")</f>
        <v/>
      </c>
    </row>
    <row r="19" ht="24" customHeight="1">
      <c r="B19" s="29">
        <f>IFERROR(INDEX(업무목록!$O$2:$O$201,MATCH(ROW()-4,업무목록!$L$2:$L$201,0)),"")</f>
        <v/>
      </c>
      <c r="D19" s="29">
        <f>IFERROR(INDEX(업무목록!$O$2:$O$201,MATCH(ROW()-4,업무목록!$M$2:$M$201,0)),"")</f>
        <v/>
      </c>
      <c r="F19" s="30">
        <f>IFERROR(INDEX(업무목록!$O$2:$O$201,MATCH(ROW()-4,업무목록!$N$2:$N$201,0)),"")</f>
        <v/>
      </c>
    </row>
    <row r="20" ht="24" customHeight="1">
      <c r="B20" s="29">
        <f>IFERROR(INDEX(업무목록!$O$2:$O$201,MATCH(ROW()-4,업무목록!$L$2:$L$201,0)),"")</f>
        <v/>
      </c>
      <c r="D20" s="29">
        <f>IFERROR(INDEX(업무목록!$O$2:$O$201,MATCH(ROW()-4,업무목록!$M$2:$M$201,0)),"")</f>
        <v/>
      </c>
      <c r="F20" s="30">
        <f>IFERROR(INDEX(업무목록!$O$2:$O$201,MATCH(ROW()-4,업무목록!$N$2:$N$201,0)),"")</f>
        <v/>
      </c>
    </row>
    <row r="21" ht="24" customHeight="1">
      <c r="B21" s="29">
        <f>IFERROR(INDEX(업무목록!$O$2:$O$201,MATCH(ROW()-4,업무목록!$L$2:$L$201,0)),"")</f>
        <v/>
      </c>
      <c r="D21" s="29">
        <f>IFERROR(INDEX(업무목록!$O$2:$O$201,MATCH(ROW()-4,업무목록!$M$2:$M$201,0)),"")</f>
        <v/>
      </c>
      <c r="F21" s="30">
        <f>IFERROR(INDEX(업무목록!$O$2:$O$201,MATCH(ROW()-4,업무목록!$N$2:$N$201,0)),"")</f>
        <v/>
      </c>
    </row>
    <row r="22" ht="24" customHeight="1">
      <c r="B22" s="29">
        <f>IFERROR(INDEX(업무목록!$O$2:$O$201,MATCH(ROW()-4,업무목록!$L$2:$L$201,0)),"")</f>
        <v/>
      </c>
      <c r="D22" s="29">
        <f>IFERROR(INDEX(업무목록!$O$2:$O$201,MATCH(ROW()-4,업무목록!$M$2:$M$201,0)),"")</f>
        <v/>
      </c>
      <c r="F22" s="30">
        <f>IFERROR(INDEX(업무목록!$O$2:$O$201,MATCH(ROW()-4,업무목록!$N$2:$N$201,0)),"")</f>
        <v/>
      </c>
    </row>
    <row r="23" ht="24" customHeight="1">
      <c r="B23" s="29">
        <f>IFERROR(INDEX(업무목록!$O$2:$O$201,MATCH(ROW()-4,업무목록!$L$2:$L$201,0)),"")</f>
        <v/>
      </c>
      <c r="D23" s="29">
        <f>IFERROR(INDEX(업무목록!$O$2:$O$201,MATCH(ROW()-4,업무목록!$M$2:$M$201,0)),"")</f>
        <v/>
      </c>
      <c r="F23" s="30">
        <f>IFERROR(INDEX(업무목록!$O$2:$O$201,MATCH(ROW()-4,업무목록!$N$2:$N$201,0)),"")</f>
        <v/>
      </c>
    </row>
    <row r="24" ht="24" customHeight="1">
      <c r="B24" s="29">
        <f>IFERROR(INDEX(업무목록!$O$2:$O$201,MATCH(ROW()-4,업무목록!$L$2:$L$201,0)),"")</f>
        <v/>
      </c>
      <c r="D24" s="29">
        <f>IFERROR(INDEX(업무목록!$O$2:$O$201,MATCH(ROW()-4,업무목록!$M$2:$M$201,0)),"")</f>
        <v/>
      </c>
      <c r="F24" s="30">
        <f>IFERROR(INDEX(업무목록!$O$2:$O$201,MATCH(ROW()-4,업무목록!$N$2:$N$201,0)),"")</f>
        <v/>
      </c>
    </row>
    <row r="25" ht="24" customHeight="1">
      <c r="B25" s="29">
        <f>IFERROR(INDEX(업무목록!$O$2:$O$201,MATCH(ROW()-4,업무목록!$L$2:$L$201,0)),"")</f>
        <v/>
      </c>
      <c r="D25" s="29">
        <f>IFERROR(INDEX(업무목록!$O$2:$O$201,MATCH(ROW()-4,업무목록!$M$2:$M$201,0)),"")</f>
        <v/>
      </c>
      <c r="F25" s="30">
        <f>IFERROR(INDEX(업무목록!$O$2:$O$201,MATCH(ROW()-4,업무목록!$N$2:$N$201,0)),"")</f>
        <v/>
      </c>
    </row>
    <row r="26" ht="24" customHeight="1">
      <c r="B26" s="29">
        <f>IFERROR(INDEX(업무목록!$O$2:$O$201,MATCH(ROW()-4,업무목록!$L$2:$L$201,0)),"")</f>
        <v/>
      </c>
      <c r="D26" s="29">
        <f>IFERROR(INDEX(업무목록!$O$2:$O$201,MATCH(ROW()-4,업무목록!$M$2:$M$201,0)),"")</f>
        <v/>
      </c>
      <c r="F26" s="30">
        <f>IFERROR(INDEX(업무목록!$O$2:$O$201,MATCH(ROW()-4,업무목록!$N$2:$N$201,0)),"")</f>
        <v/>
      </c>
    </row>
    <row r="27" ht="24" customHeight="1">
      <c r="B27" s="29">
        <f>IFERROR(INDEX(업무목록!$O$2:$O$201,MATCH(ROW()-4,업무목록!$L$2:$L$201,0)),"")</f>
        <v/>
      </c>
      <c r="D27" s="29">
        <f>IFERROR(INDEX(업무목록!$O$2:$O$201,MATCH(ROW()-4,업무목록!$M$2:$M$201,0)),"")</f>
        <v/>
      </c>
      <c r="F27" s="30">
        <f>IFERROR(INDEX(업무목록!$O$2:$O$201,MATCH(ROW()-4,업무목록!$N$2:$N$201,0)),"")</f>
        <v/>
      </c>
    </row>
    <row r="28" ht="24" customHeight="1">
      <c r="B28" s="29">
        <f>IFERROR(INDEX(업무목록!$O$2:$O$201,MATCH(ROW()-4,업무목록!$L$2:$L$201,0)),"")</f>
        <v/>
      </c>
      <c r="D28" s="29">
        <f>IFERROR(INDEX(업무목록!$O$2:$O$201,MATCH(ROW()-4,업무목록!$M$2:$M$201,0)),"")</f>
        <v/>
      </c>
      <c r="F28" s="30">
        <f>IFERROR(INDEX(업무목록!$O$2:$O$201,MATCH(ROW()-4,업무목록!$N$2:$N$201,0)),"")</f>
        <v/>
      </c>
    </row>
    <row r="29" ht="24" customHeight="1">
      <c r="B29" s="29">
        <f>IFERROR(INDEX(업무목록!$O$2:$O$201,MATCH(ROW()-4,업무목록!$L$2:$L$201,0)),"")</f>
        <v/>
      </c>
      <c r="D29" s="29">
        <f>IFERROR(INDEX(업무목록!$O$2:$O$201,MATCH(ROW()-4,업무목록!$M$2:$M$201,0)),"")</f>
        <v/>
      </c>
      <c r="F29" s="30">
        <f>IFERROR(INDEX(업무목록!$O$2:$O$201,MATCH(ROW()-4,업무목록!$N$2:$N$201,0)),"")</f>
        <v/>
      </c>
    </row>
    <row r="30" ht="24" customHeight="1">
      <c r="B30" s="29">
        <f>IFERROR(INDEX(업무목록!$O$2:$O$201,MATCH(ROW()-4,업무목록!$L$2:$L$201,0)),"")</f>
        <v/>
      </c>
      <c r="D30" s="29">
        <f>IFERROR(INDEX(업무목록!$O$2:$O$201,MATCH(ROW()-4,업무목록!$M$2:$M$201,0)),"")</f>
        <v/>
      </c>
      <c r="F30" s="30">
        <f>IFERROR(INDEX(업무목록!$O$2:$O$201,MATCH(ROW()-4,업무목록!$N$2:$N$201,0)),"")</f>
        <v/>
      </c>
    </row>
    <row r="31" ht="24" customHeight="1">
      <c r="B31" s="29">
        <f>IFERROR(INDEX(업무목록!$O$2:$O$201,MATCH(ROW()-4,업무목록!$L$2:$L$201,0)),"")</f>
        <v/>
      </c>
      <c r="D31" s="29">
        <f>IFERROR(INDEX(업무목록!$O$2:$O$201,MATCH(ROW()-4,업무목록!$M$2:$M$201,0)),"")</f>
        <v/>
      </c>
      <c r="F31" s="30">
        <f>IFERROR(INDEX(업무목록!$O$2:$O$201,MATCH(ROW()-4,업무목록!$N$2:$N$201,0)),"")</f>
        <v/>
      </c>
    </row>
    <row r="32" ht="24" customHeight="1">
      <c r="B32" s="29">
        <f>IFERROR(INDEX(업무목록!$O$2:$O$201,MATCH(ROW()-4,업무목록!$L$2:$L$201,0)),"")</f>
        <v/>
      </c>
      <c r="D32" s="29">
        <f>IFERROR(INDEX(업무목록!$O$2:$O$201,MATCH(ROW()-4,업무목록!$M$2:$M$201,0)),"")</f>
        <v/>
      </c>
      <c r="F32" s="30">
        <f>IFERROR(INDEX(업무목록!$O$2:$O$201,MATCH(ROW()-4,업무목록!$N$2:$N$201,0)),"")</f>
        <v/>
      </c>
    </row>
    <row r="33" ht="24" customHeight="1">
      <c r="B33" s="29">
        <f>IFERROR(INDEX(업무목록!$O$2:$O$201,MATCH(ROW()-4,업무목록!$L$2:$L$201,0)),"")</f>
        <v/>
      </c>
      <c r="D33" s="29">
        <f>IFERROR(INDEX(업무목록!$O$2:$O$201,MATCH(ROW()-4,업무목록!$M$2:$M$201,0)),"")</f>
        <v/>
      </c>
      <c r="F33" s="30">
        <f>IFERROR(INDEX(업무목록!$O$2:$O$201,MATCH(ROW()-4,업무목록!$N$2:$N$201,0)),"")</f>
        <v/>
      </c>
    </row>
    <row r="34" ht="24" customHeight="1">
      <c r="B34" s="29">
        <f>IFERROR(INDEX(업무목록!$O$2:$O$201,MATCH(ROW()-4,업무목록!$L$2:$L$201,0)),"")</f>
        <v/>
      </c>
      <c r="D34" s="29">
        <f>IFERROR(INDEX(업무목록!$O$2:$O$201,MATCH(ROW()-4,업무목록!$M$2:$M$201,0)),"")</f>
        <v/>
      </c>
      <c r="F34" s="30">
        <f>IFERROR(INDEX(업무목록!$O$2:$O$201,MATCH(ROW()-4,업무목록!$N$2:$N$201,0)),"")</f>
        <v/>
      </c>
    </row>
  </sheetData>
  <conditionalFormatting sqref="B5:B34">
    <cfRule type="expression" priority="1" dxfId="0">
      <formula>$B5&lt;&gt;""</formula>
    </cfRule>
  </conditionalFormatting>
  <conditionalFormatting sqref="D5:D34">
    <cfRule type="expression" priority="2" dxfId="1">
      <formula>$D5&lt;&gt;""</formula>
    </cfRule>
  </conditionalFormatting>
  <conditionalFormatting sqref="F5:F34">
    <cfRule type="expression" priority="3" dxfId="2">
      <formula>$F5&lt;&gt;""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CA30C"/>
    <outlinePr summaryBelow="1" summaryRight="1"/>
    <pageSetUpPr/>
  </sheetPr>
  <dimension ref="A1:O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1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4" customWidth="1" min="10" max="10"/>
    <col width="28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 ht="26" customHeight="1">
      <c r="A1" s="31" t="inlineStr">
        <is>
          <t>No.</t>
        </is>
      </c>
      <c r="B1" s="31" t="inlineStr">
        <is>
          <t>업무명</t>
        </is>
      </c>
      <c r="C1" s="31" t="inlineStr">
        <is>
          <t>프로젝트</t>
        </is>
      </c>
      <c r="D1" s="31" t="inlineStr">
        <is>
          <t>담당자</t>
        </is>
      </c>
      <c r="E1" s="31" t="inlineStr">
        <is>
          <t>우선순위</t>
        </is>
      </c>
      <c r="F1" s="31" t="inlineStr">
        <is>
          <t>상태</t>
        </is>
      </c>
      <c r="G1" s="31" t="inlineStr">
        <is>
          <t>시작일</t>
        </is>
      </c>
      <c r="H1" s="31" t="inlineStr">
        <is>
          <t>마감일</t>
        </is>
      </c>
      <c r="I1" s="31" t="inlineStr">
        <is>
          <t>진행률</t>
        </is>
      </c>
      <c r="J1" s="31" t="inlineStr">
        <is>
          <t>D-Day</t>
        </is>
      </c>
      <c r="K1" s="31" t="inlineStr">
        <is>
          <t>메모</t>
        </is>
      </c>
      <c r="L1" s="32" t="inlineStr">
        <is>
          <t>_todo</t>
        </is>
      </c>
      <c r="M1" s="32" t="inlineStr">
        <is>
          <t>_doing</t>
        </is>
      </c>
      <c r="N1" s="32" t="inlineStr">
        <is>
          <t>_done</t>
        </is>
      </c>
      <c r="O1" s="32" t="inlineStr">
        <is>
          <t>_card</t>
        </is>
      </c>
    </row>
    <row r="2">
      <c r="A2" s="33">
        <f>IF($B2="","",COUNTA($B$2:$B2))</f>
        <v/>
      </c>
      <c r="B2" s="34" t="inlineStr">
        <is>
          <t>신규 서비스 런칭 킥오프 미팅</t>
        </is>
      </c>
      <c r="C2" s="34" t="inlineStr">
        <is>
          <t>런칭 프로젝트</t>
        </is>
      </c>
      <c r="D2" s="33" t="inlineStr">
        <is>
          <t>김민준</t>
        </is>
      </c>
      <c r="E2" s="33" t="inlineStr">
        <is>
          <t>높음</t>
        </is>
      </c>
      <c r="F2" s="33" t="inlineStr">
        <is>
          <t>Done</t>
        </is>
      </c>
      <c r="G2" s="35" t="n">
        <v>46191</v>
      </c>
      <c r="H2" s="35" t="n">
        <v>46195</v>
      </c>
      <c r="I2" s="36" t="n">
        <v>100</v>
      </c>
      <c r="J2" s="33">
        <f>IF($B2="","",IF($F2="Done","✔ 완료",IF($H2="","—",IF($H2&lt;TODAY(),"⚠ "&amp;(TODAY()-$H2)&amp;"일 지연",IF($H2=TODAY(),"🔔 오늘 마감","D-"&amp;($H2-TODAY()))))))</f>
        <v/>
      </c>
      <c r="K2" s="34" t="inlineStr">
        <is>
          <t>회의록 공유 완료</t>
        </is>
      </c>
      <c r="L2">
        <f>IF(AND($B2&lt;&gt;"",$F2="To Do"),COUNTIFS($B$2:$B2,"&lt;&gt;",$F$2:$F2,"To Do"),"")</f>
        <v/>
      </c>
      <c r="M2">
        <f>IF(AND($B2&lt;&gt;"",$F2="Doing"),COUNTIFS($B$2:$B2,"&lt;&gt;",$F$2:$F2,"Doing"),"")</f>
        <v/>
      </c>
      <c r="N2">
        <f>IF(AND($B2&lt;&gt;"",$F2="Done"),COUNTIFS($B$2:$B2,"&lt;&gt;",$F$2:$F2,"Done"),"")</f>
        <v/>
      </c>
      <c r="O2">
        <f>IF($B2="","",$B2&amp;"  |  "&amp;IF($D2="","담당자 미지정",$D2)&amp;IF($H2="",""," · ~"&amp;TEXT($H2,"m/d"))&amp;IF($E2="높음"," 🔺","")&amp;IF(AND($F2&lt;&gt;"Done",$H2&lt;&gt;"",$H2&lt;TODAY())," ⚠",""))</f>
        <v/>
      </c>
    </row>
    <row r="3">
      <c r="A3" s="33">
        <f>IF($B3="","",COUNTA($B$2:$B3))</f>
        <v/>
      </c>
      <c r="B3" s="34" t="inlineStr">
        <is>
          <t>요구사항 정의서(PRD) 작성</t>
        </is>
      </c>
      <c r="C3" s="34" t="inlineStr">
        <is>
          <t>런칭 프로젝트</t>
        </is>
      </c>
      <c r="D3" s="33" t="inlineStr">
        <is>
          <t>김민준</t>
        </is>
      </c>
      <c r="E3" s="33" t="inlineStr">
        <is>
          <t>높음</t>
        </is>
      </c>
      <c r="F3" s="33" t="inlineStr">
        <is>
          <t>Done</t>
        </is>
      </c>
      <c r="G3" s="35" t="n">
        <v>46195</v>
      </c>
      <c r="H3" s="35" t="n">
        <v>46202</v>
      </c>
      <c r="I3" s="36" t="n">
        <v>100</v>
      </c>
      <c r="J3" s="33">
        <f>IF($B3="","",IF($F3="Done","✔ 완료",IF($H3="","—",IF($H3&lt;TODAY(),"⚠ "&amp;(TODAY()-$H3)&amp;"일 지연",IF($H3=TODAY(),"🔔 오늘 마감","D-"&amp;($H3-TODAY()))))))</f>
        <v/>
      </c>
      <c r="K3" s="34" t="inlineStr">
        <is>
          <t>v1.2 확정</t>
        </is>
      </c>
      <c r="L3">
        <f>IF(AND($B3&lt;&gt;"",$F3="To Do"),COUNTIFS($B$2:$B3,"&lt;&gt;",$F$2:$F3,"To Do"),"")</f>
        <v/>
      </c>
      <c r="M3">
        <f>IF(AND($B3&lt;&gt;"",$F3="Doing"),COUNTIFS($B$2:$B3,"&lt;&gt;",$F$2:$F3,"Doing"),"")</f>
        <v/>
      </c>
      <c r="N3">
        <f>IF(AND($B3&lt;&gt;"",$F3="Done"),COUNTIFS($B$2:$B3,"&lt;&gt;",$F$2:$F3,"Done"),"")</f>
        <v/>
      </c>
      <c r="O3">
        <f>IF($B3="","",$B3&amp;"  |  "&amp;IF($D3="","담당자 미지정",$D3)&amp;IF($H3="",""," · ~"&amp;TEXT($H3,"m/d"))&amp;IF($E3="높음"," 🔺","")&amp;IF(AND($F3&lt;&gt;"Done",$H3&lt;&gt;"",$H3&lt;TODAY())," ⚠",""))</f>
        <v/>
      </c>
    </row>
    <row r="4">
      <c r="A4" s="33">
        <f>IF($B4="","",COUNTA($B$2:$B4))</f>
        <v/>
      </c>
      <c r="B4" s="34" t="inlineStr">
        <is>
          <t>와이어프레임 시안 검토</t>
        </is>
      </c>
      <c r="C4" s="34" t="inlineStr">
        <is>
          <t>런칭 프로젝트</t>
        </is>
      </c>
      <c r="D4" s="33" t="inlineStr">
        <is>
          <t>이서연</t>
        </is>
      </c>
      <c r="E4" s="33" t="inlineStr">
        <is>
          <t>중간</t>
        </is>
      </c>
      <c r="F4" s="33" t="inlineStr">
        <is>
          <t>Doing</t>
        </is>
      </c>
      <c r="G4" s="35" t="n">
        <v>46200</v>
      </c>
      <c r="H4" s="35" t="n">
        <v>46206</v>
      </c>
      <c r="I4" s="36" t="n">
        <v>70</v>
      </c>
      <c r="J4" s="33">
        <f>IF($B4="","",IF($F4="Done","✔ 완료",IF($H4="","—",IF($H4&lt;TODAY(),"⚠ "&amp;(TODAY()-$H4)&amp;"일 지연",IF($H4=TODAY(),"🔔 오늘 마감","D-"&amp;($H4-TODAY()))))))</f>
        <v/>
      </c>
      <c r="K4" s="34" t="inlineStr">
        <is>
          <t>디자인팀 피드백 반영 중</t>
        </is>
      </c>
      <c r="L4">
        <f>IF(AND($B4&lt;&gt;"",$F4="To Do"),COUNTIFS($B$2:$B4,"&lt;&gt;",$F$2:$F4,"To Do"),"")</f>
        <v/>
      </c>
      <c r="M4">
        <f>IF(AND($B4&lt;&gt;"",$F4="Doing"),COUNTIFS($B$2:$B4,"&lt;&gt;",$F$2:$F4,"Doing"),"")</f>
        <v/>
      </c>
      <c r="N4">
        <f>IF(AND($B4&lt;&gt;"",$F4="Done"),COUNTIFS($B$2:$B4,"&lt;&gt;",$F$2:$F4,"Done"),"")</f>
        <v/>
      </c>
      <c r="O4">
        <f>IF($B4="","",$B4&amp;"  |  "&amp;IF($D4="","담당자 미지정",$D4)&amp;IF($H4="",""," · ~"&amp;TEXT($H4,"m/d"))&amp;IF($E4="높음"," 🔺","")&amp;IF(AND($F4&lt;&gt;"Done",$H4&lt;&gt;"",$H4&lt;TODAY())," ⚠",""))</f>
        <v/>
      </c>
    </row>
    <row r="5">
      <c r="A5" s="33">
        <f>IF($B5="","",COUNTA($B$2:$B5))</f>
        <v/>
      </c>
      <c r="B5" s="34" t="inlineStr">
        <is>
          <t>개발 일정 산정 및 스프린트 계획</t>
        </is>
      </c>
      <c r="C5" s="34" t="inlineStr">
        <is>
          <t>런칭 프로젝트</t>
        </is>
      </c>
      <c r="D5" s="33" t="inlineStr">
        <is>
          <t>박지훈</t>
        </is>
      </c>
      <c r="E5" s="33" t="inlineStr">
        <is>
          <t>높음</t>
        </is>
      </c>
      <c r="F5" s="33" t="inlineStr">
        <is>
          <t>Doing</t>
        </is>
      </c>
      <c r="G5" s="35" t="n">
        <v>46202</v>
      </c>
      <c r="H5" s="35" t="n">
        <v>46208</v>
      </c>
      <c r="I5" s="36" t="n">
        <v>40</v>
      </c>
      <c r="J5" s="33">
        <f>IF($B5="","",IF($F5="Done","✔ 완료",IF($H5="","—",IF($H5&lt;TODAY(),"⚠ "&amp;(TODAY()-$H5)&amp;"일 지연",IF($H5=TODAY(),"🔔 오늘 마감","D-"&amp;($H5-TODAY()))))))</f>
        <v/>
      </c>
      <c r="K5" s="34" t="inlineStr"/>
      <c r="L5">
        <f>IF(AND($B5&lt;&gt;"",$F5="To Do"),COUNTIFS($B$2:$B5,"&lt;&gt;",$F$2:$F5,"To Do"),"")</f>
        <v/>
      </c>
      <c r="M5">
        <f>IF(AND($B5&lt;&gt;"",$F5="Doing"),COUNTIFS($B$2:$B5,"&lt;&gt;",$F$2:$F5,"Doing"),"")</f>
        <v/>
      </c>
      <c r="N5">
        <f>IF(AND($B5&lt;&gt;"",$F5="Done"),COUNTIFS($B$2:$B5,"&lt;&gt;",$F$2:$F5,"Done"),"")</f>
        <v/>
      </c>
      <c r="O5">
        <f>IF($B5="","",$B5&amp;"  |  "&amp;IF($D5="","담당자 미지정",$D5)&amp;IF($H5="",""," · ~"&amp;TEXT($H5,"m/d"))&amp;IF($E5="높음"," 🔺","")&amp;IF(AND($F5&lt;&gt;"Done",$H5&lt;&gt;"",$H5&lt;TODAY())," ⚠",""))</f>
        <v/>
      </c>
    </row>
    <row r="6">
      <c r="A6" s="33">
        <f>IF($B6="","",COUNTA($B$2:$B6))</f>
        <v/>
      </c>
      <c r="B6" s="34" t="inlineStr">
        <is>
          <t>경쟁사 기능 벤치마킹 리서치</t>
        </is>
      </c>
      <c r="C6" s="34" t="inlineStr">
        <is>
          <t>리서치</t>
        </is>
      </c>
      <c r="D6" s="33" t="inlineStr">
        <is>
          <t>최수아</t>
        </is>
      </c>
      <c r="E6" s="33" t="inlineStr">
        <is>
          <t>낮음</t>
        </is>
      </c>
      <c r="F6" s="33" t="inlineStr">
        <is>
          <t>Doing</t>
        </is>
      </c>
      <c r="G6" s="35" t="n">
        <v>46198</v>
      </c>
      <c r="H6" s="35" t="n">
        <v>46204</v>
      </c>
      <c r="I6" s="36" t="n">
        <v>80</v>
      </c>
      <c r="J6" s="33">
        <f>IF($B6="","",IF($F6="Done","✔ 완료",IF($H6="","—",IF($H6&lt;TODAY(),"⚠ "&amp;(TODAY()-$H6)&amp;"일 지연",IF($H6=TODAY(),"🔔 오늘 마감","D-"&amp;($H6-TODAY()))))))</f>
        <v/>
      </c>
      <c r="K6" s="34" t="inlineStr">
        <is>
          <t>지연 — 보고서 마무리 필요</t>
        </is>
      </c>
      <c r="L6">
        <f>IF(AND($B6&lt;&gt;"",$F6="To Do"),COUNTIFS($B$2:$B6,"&lt;&gt;",$F$2:$F6,"To Do"),"")</f>
        <v/>
      </c>
      <c r="M6">
        <f>IF(AND($B6&lt;&gt;"",$F6="Doing"),COUNTIFS($B$2:$B6,"&lt;&gt;",$F$2:$F6,"Doing"),"")</f>
        <v/>
      </c>
      <c r="N6">
        <f>IF(AND($B6&lt;&gt;"",$F6="Done"),COUNTIFS($B$2:$B6,"&lt;&gt;",$F$2:$F6,"Done"),"")</f>
        <v/>
      </c>
      <c r="O6">
        <f>IF($B6="","",$B6&amp;"  |  "&amp;IF($D6="","담당자 미지정",$D6)&amp;IF($H6="",""," · ~"&amp;TEXT($H6,"m/d"))&amp;IF($E6="높음"," 🔺","")&amp;IF(AND($F6&lt;&gt;"Done",$H6&lt;&gt;"",$H6&lt;TODAY())," ⚠",""))</f>
        <v/>
      </c>
    </row>
    <row r="7">
      <c r="A7" s="33">
        <f>IF($B7="","",COUNTA($B$2:$B7))</f>
        <v/>
      </c>
      <c r="B7" s="34" t="inlineStr">
        <is>
          <t>유저 인터뷰 대상자 모집</t>
        </is>
      </c>
      <c r="C7" s="34" t="inlineStr">
        <is>
          <t>리서치</t>
        </is>
      </c>
      <c r="D7" s="33" t="inlineStr">
        <is>
          <t>최수아</t>
        </is>
      </c>
      <c r="E7" s="33" t="inlineStr">
        <is>
          <t>중간</t>
        </is>
      </c>
      <c r="F7" s="33" t="inlineStr">
        <is>
          <t>To Do</t>
        </is>
      </c>
      <c r="G7" s="35" t="n">
        <v>46206</v>
      </c>
      <c r="H7" s="35" t="n">
        <v>46212</v>
      </c>
      <c r="I7" s="36" t="n">
        <v>0</v>
      </c>
      <c r="J7" s="33">
        <f>IF($B7="","",IF($F7="Done","✔ 완료",IF($H7="","—",IF($H7&lt;TODAY(),"⚠ "&amp;(TODAY()-$H7)&amp;"일 지연",IF($H7=TODAY(),"🔔 오늘 마감","D-"&amp;($H7-TODAY()))))))</f>
        <v/>
      </c>
      <c r="K7" s="34" t="inlineStr">
        <is>
          <t>10명 목표</t>
        </is>
      </c>
      <c r="L7">
        <f>IF(AND($B7&lt;&gt;"",$F7="To Do"),COUNTIFS($B$2:$B7,"&lt;&gt;",$F$2:$F7,"To Do"),"")</f>
        <v/>
      </c>
      <c r="M7">
        <f>IF(AND($B7&lt;&gt;"",$F7="Doing"),COUNTIFS($B$2:$B7,"&lt;&gt;",$F$2:$F7,"Doing"),"")</f>
        <v/>
      </c>
      <c r="N7">
        <f>IF(AND($B7&lt;&gt;"",$F7="Done"),COUNTIFS($B$2:$B7,"&lt;&gt;",$F$2:$F7,"Done"),"")</f>
        <v/>
      </c>
      <c r="O7">
        <f>IF($B7="","",$B7&amp;"  |  "&amp;IF($D7="","담당자 미지정",$D7)&amp;IF($H7="",""," · ~"&amp;TEXT($H7,"m/d"))&amp;IF($E7="높음"," 🔺","")&amp;IF(AND($F7&lt;&gt;"Done",$H7&lt;&gt;"",$H7&lt;TODAY())," ⚠",""))</f>
        <v/>
      </c>
    </row>
    <row r="8">
      <c r="A8" s="33">
        <f>IF($B8="","",COUNTA($B$2:$B8))</f>
        <v/>
      </c>
      <c r="B8" s="34" t="inlineStr">
        <is>
          <t>온보딩 플로우 개선안 정리</t>
        </is>
      </c>
      <c r="C8" s="34" t="inlineStr">
        <is>
          <t>UX 개선</t>
        </is>
      </c>
      <c r="D8" s="33" t="inlineStr">
        <is>
          <t>이서연</t>
        </is>
      </c>
      <c r="E8" s="33" t="inlineStr">
        <is>
          <t>중간</t>
        </is>
      </c>
      <c r="F8" s="33" t="inlineStr">
        <is>
          <t>To Do</t>
        </is>
      </c>
      <c r="G8" s="35" t="n">
        <v>46208</v>
      </c>
      <c r="H8" s="35" t="n">
        <v>46215</v>
      </c>
      <c r="I8" s="36" t="n">
        <v>0</v>
      </c>
      <c r="J8" s="33">
        <f>IF($B8="","",IF($F8="Done","✔ 완료",IF($H8="","—",IF($H8&lt;TODAY(),"⚠ "&amp;(TODAY()-$H8)&amp;"일 지연",IF($H8=TODAY(),"🔔 오늘 마감","D-"&amp;($H8-TODAY()))))))</f>
        <v/>
      </c>
      <c r="K8" s="34" t="inlineStr"/>
      <c r="L8">
        <f>IF(AND($B8&lt;&gt;"",$F8="To Do"),COUNTIFS($B$2:$B8,"&lt;&gt;",$F$2:$F8,"To Do"),"")</f>
        <v/>
      </c>
      <c r="M8">
        <f>IF(AND($B8&lt;&gt;"",$F8="Doing"),COUNTIFS($B$2:$B8,"&lt;&gt;",$F$2:$F8,"Doing"),"")</f>
        <v/>
      </c>
      <c r="N8">
        <f>IF(AND($B8&lt;&gt;"",$F8="Done"),COUNTIFS($B$2:$B8,"&lt;&gt;",$F$2:$F8,"Done"),"")</f>
        <v/>
      </c>
      <c r="O8">
        <f>IF($B8="","",$B8&amp;"  |  "&amp;IF($D8="","담당자 미지정",$D8)&amp;IF($H8="",""," · ~"&amp;TEXT($H8,"m/d"))&amp;IF($E8="높음"," 🔺","")&amp;IF(AND($F8&lt;&gt;"Done",$H8&lt;&gt;"",$H8&lt;TODAY())," ⚠",""))</f>
        <v/>
      </c>
    </row>
    <row r="9">
      <c r="A9" s="33">
        <f>IF($B9="","",COUNTA($B$2:$B9))</f>
        <v/>
      </c>
      <c r="B9" s="34" t="inlineStr">
        <is>
          <t>3분기 로드맵 경영진 보고</t>
        </is>
      </c>
      <c r="C9" s="34" t="inlineStr">
        <is>
          <t>운영</t>
        </is>
      </c>
      <c r="D9" s="33" t="inlineStr">
        <is>
          <t>김민준</t>
        </is>
      </c>
      <c r="E9" s="33" t="inlineStr">
        <is>
          <t>높음</t>
        </is>
      </c>
      <c r="F9" s="33" t="inlineStr">
        <is>
          <t>To Do</t>
        </is>
      </c>
      <c r="G9" s="35" t="n">
        <v>46210</v>
      </c>
      <c r="H9" s="35" t="n">
        <v>46214</v>
      </c>
      <c r="I9" s="36" t="n">
        <v>0</v>
      </c>
      <c r="J9" s="33">
        <f>IF($B9="","",IF($F9="Done","✔ 완료",IF($H9="","—",IF($H9&lt;TODAY(),"⚠ "&amp;(TODAY()-$H9)&amp;"일 지연",IF($H9=TODAY(),"🔔 오늘 마감","D-"&amp;($H9-TODAY()))))))</f>
        <v/>
      </c>
      <c r="K9" s="34" t="inlineStr">
        <is>
          <t>발표자료 필요</t>
        </is>
      </c>
      <c r="L9">
        <f>IF(AND($B9&lt;&gt;"",$F9="To Do"),COUNTIFS($B$2:$B9,"&lt;&gt;",$F$2:$F9,"To Do"),"")</f>
        <v/>
      </c>
      <c r="M9">
        <f>IF(AND($B9&lt;&gt;"",$F9="Doing"),COUNTIFS($B$2:$B9,"&lt;&gt;",$F$2:$F9,"Doing"),"")</f>
        <v/>
      </c>
      <c r="N9">
        <f>IF(AND($B9&lt;&gt;"",$F9="Done"),COUNTIFS($B$2:$B9,"&lt;&gt;",$F$2:$F9,"Done"),"")</f>
        <v/>
      </c>
      <c r="O9">
        <f>IF($B9="","",$B9&amp;"  |  "&amp;IF($D9="","담당자 미지정",$D9)&amp;IF($H9="",""," · ~"&amp;TEXT($H9,"m/d"))&amp;IF($E9="높음"," 🔺","")&amp;IF(AND($F9&lt;&gt;"Done",$H9&lt;&gt;"",$H9&lt;TODAY())," ⚠",""))</f>
        <v/>
      </c>
    </row>
    <row r="10">
      <c r="A10" s="33">
        <f>IF($B10="","",COUNTA($B$2:$B10))</f>
        <v/>
      </c>
      <c r="B10" s="34" t="inlineStr">
        <is>
          <t>데이터 대시보드 지표 정의</t>
        </is>
      </c>
      <c r="C10" s="34" t="inlineStr">
        <is>
          <t>데이터</t>
        </is>
      </c>
      <c r="D10" s="33" t="inlineStr">
        <is>
          <t>박지훈</t>
        </is>
      </c>
      <c r="E10" s="33" t="inlineStr">
        <is>
          <t>중간</t>
        </is>
      </c>
      <c r="F10" s="33" t="inlineStr">
        <is>
          <t>Doing</t>
        </is>
      </c>
      <c r="G10" s="35" t="n">
        <v>46203</v>
      </c>
      <c r="H10" s="35" t="n">
        <v>46210</v>
      </c>
      <c r="I10" s="36" t="n">
        <v>30</v>
      </c>
      <c r="J10" s="33">
        <f>IF($B10="","",IF($F10="Done","✔ 완료",IF($H10="","—",IF($H10&lt;TODAY(),"⚠ "&amp;(TODAY()-$H10)&amp;"일 지연",IF($H10=TODAY(),"🔔 오늘 마감","D-"&amp;($H10-TODAY()))))))</f>
        <v/>
      </c>
      <c r="K10" s="34" t="inlineStr">
        <is>
          <t>핵심 지표 3개 선정</t>
        </is>
      </c>
      <c r="L10">
        <f>IF(AND($B10&lt;&gt;"",$F10="To Do"),COUNTIFS($B$2:$B10,"&lt;&gt;",$F$2:$F10,"To Do"),"")</f>
        <v/>
      </c>
      <c r="M10">
        <f>IF(AND($B10&lt;&gt;"",$F10="Doing"),COUNTIFS($B$2:$B10,"&lt;&gt;",$F$2:$F10,"Doing"),"")</f>
        <v/>
      </c>
      <c r="N10">
        <f>IF(AND($B10&lt;&gt;"",$F10="Done"),COUNTIFS($B$2:$B10,"&lt;&gt;",$F$2:$F10,"Done"),"")</f>
        <v/>
      </c>
      <c r="O10">
        <f>IF($B10="","",$B10&amp;"  |  "&amp;IF($D10="","담당자 미지정",$D10)&amp;IF($H10="",""," · ~"&amp;TEXT($H10,"m/d"))&amp;IF($E10="높음"," 🔺","")&amp;IF(AND($F10&lt;&gt;"Done",$H10&lt;&gt;"",$H10&lt;TODAY())," ⚠",""))</f>
        <v/>
      </c>
    </row>
    <row r="11">
      <c r="A11" s="33">
        <f>IF($B11="","",COUNTA($B$2:$B11))</f>
        <v/>
      </c>
      <c r="B11" s="34" t="inlineStr">
        <is>
          <t>고객 문의(VOC) 월간 리포트</t>
        </is>
      </c>
      <c r="C11" s="34" t="inlineStr">
        <is>
          <t>운영</t>
        </is>
      </c>
      <c r="D11" s="33" t="inlineStr">
        <is>
          <t>정다은</t>
        </is>
      </c>
      <c r="E11" s="33" t="inlineStr">
        <is>
          <t>낮음</t>
        </is>
      </c>
      <c r="F11" s="33" t="inlineStr">
        <is>
          <t>Done</t>
        </is>
      </c>
      <c r="G11" s="35" t="n">
        <v>46197</v>
      </c>
      <c r="H11" s="35" t="n">
        <v>46203</v>
      </c>
      <c r="I11" s="36" t="n">
        <v>100</v>
      </c>
      <c r="J11" s="33">
        <f>IF($B11="","",IF($F11="Done","✔ 완료",IF($H11="","—",IF($H11&lt;TODAY(),"⚠ "&amp;(TODAY()-$H11)&amp;"일 지연",IF($H11=TODAY(),"🔔 오늘 마감","D-"&amp;($H11-TODAY()))))))</f>
        <v/>
      </c>
      <c r="K11" s="34" t="inlineStr"/>
      <c r="L11">
        <f>IF(AND($B11&lt;&gt;"",$F11="To Do"),COUNTIFS($B$2:$B11,"&lt;&gt;",$F$2:$F11,"To Do"),"")</f>
        <v/>
      </c>
      <c r="M11">
        <f>IF(AND($B11&lt;&gt;"",$F11="Doing"),COUNTIFS($B$2:$B11,"&lt;&gt;",$F$2:$F11,"Doing"),"")</f>
        <v/>
      </c>
      <c r="N11">
        <f>IF(AND($B11&lt;&gt;"",$F11="Done"),COUNTIFS($B$2:$B11,"&lt;&gt;",$F$2:$F11,"Done"),"")</f>
        <v/>
      </c>
      <c r="O11">
        <f>IF($B11="","",$B11&amp;"  |  "&amp;IF($D11="","담당자 미지정",$D11)&amp;IF($H11="",""," · ~"&amp;TEXT($H11,"m/d"))&amp;IF($E11="높음"," 🔺","")&amp;IF(AND($F11&lt;&gt;"Done",$H11&lt;&gt;"",$H11&lt;TODAY())," ⚠",""))</f>
        <v/>
      </c>
    </row>
    <row r="12">
      <c r="A12" s="33">
        <f>IF($B12="","",COUNTA($B$2:$B12))</f>
        <v/>
      </c>
      <c r="B12" s="34" t="inlineStr">
        <is>
          <t>A/B 테스트 결과 분석 및 공유</t>
        </is>
      </c>
      <c r="C12" s="34" t="inlineStr">
        <is>
          <t>데이터</t>
        </is>
      </c>
      <c r="D12" s="33" t="inlineStr">
        <is>
          <t>정다은</t>
        </is>
      </c>
      <c r="E12" s="33" t="inlineStr">
        <is>
          <t>중간</t>
        </is>
      </c>
      <c r="F12" s="33" t="inlineStr">
        <is>
          <t>To Do</t>
        </is>
      </c>
      <c r="G12" s="35" t="n">
        <v>46207</v>
      </c>
      <c r="H12" s="35" t="n">
        <v>46213</v>
      </c>
      <c r="I12" s="36" t="n">
        <v>0</v>
      </c>
      <c r="J12" s="33">
        <f>IF($B12="","",IF($F12="Done","✔ 완료",IF($H12="","—",IF($H12&lt;TODAY(),"⚠ "&amp;(TODAY()-$H12)&amp;"일 지연",IF($H12=TODAY(),"🔔 오늘 마감","D-"&amp;($H12-TODAY()))))))</f>
        <v/>
      </c>
      <c r="K12" s="34" t="inlineStr"/>
      <c r="L12">
        <f>IF(AND($B12&lt;&gt;"",$F12="To Do"),COUNTIFS($B$2:$B12,"&lt;&gt;",$F$2:$F12,"To Do"),"")</f>
        <v/>
      </c>
      <c r="M12">
        <f>IF(AND($B12&lt;&gt;"",$F12="Doing"),COUNTIFS($B$2:$B12,"&lt;&gt;",$F$2:$F12,"Doing"),"")</f>
        <v/>
      </c>
      <c r="N12">
        <f>IF(AND($B12&lt;&gt;"",$F12="Done"),COUNTIFS($B$2:$B12,"&lt;&gt;",$F$2:$F12,"Done"),"")</f>
        <v/>
      </c>
      <c r="O12">
        <f>IF($B12="","",$B12&amp;"  |  "&amp;IF($D12="","담당자 미지정",$D12)&amp;IF($H12="",""," · ~"&amp;TEXT($H12,"m/d"))&amp;IF($E12="높음"," 🔺","")&amp;IF(AND($F12&lt;&gt;"Done",$H12&lt;&gt;"",$H12&lt;TODAY())," ⚠",""))</f>
        <v/>
      </c>
    </row>
    <row r="13">
      <c r="A13" s="33">
        <f>IF($B13="","",COUNTA($B$2:$B13))</f>
        <v/>
      </c>
      <c r="B13" s="34" t="inlineStr">
        <is>
          <t>개인정보 처리방침 개정 검토</t>
        </is>
      </c>
      <c r="C13" s="34" t="inlineStr">
        <is>
          <t>운영</t>
        </is>
      </c>
      <c r="D13" s="33" t="inlineStr">
        <is>
          <t>최수아</t>
        </is>
      </c>
      <c r="E13" s="33" t="inlineStr">
        <is>
          <t>높음</t>
        </is>
      </c>
      <c r="F13" s="33" t="inlineStr">
        <is>
          <t>To Do</t>
        </is>
      </c>
      <c r="G13" s="35" t="n">
        <v>46205</v>
      </c>
      <c r="H13" s="35" t="n">
        <v>46211</v>
      </c>
      <c r="I13" s="36" t="n">
        <v>0</v>
      </c>
      <c r="J13" s="33">
        <f>IF($B13="","",IF($F13="Done","✔ 완료",IF($H13="","—",IF($H13&lt;TODAY(),"⚠ "&amp;(TODAY()-$H13)&amp;"일 지연",IF($H13=TODAY(),"🔔 오늘 마감","D-"&amp;($H13-TODAY()))))))</f>
        <v/>
      </c>
      <c r="K13" s="34" t="inlineStr">
        <is>
          <t>법무 검토 병행</t>
        </is>
      </c>
      <c r="L13">
        <f>IF(AND($B13&lt;&gt;"",$F13="To Do"),COUNTIFS($B$2:$B13,"&lt;&gt;",$F$2:$F13,"To Do"),"")</f>
        <v/>
      </c>
      <c r="M13">
        <f>IF(AND($B13&lt;&gt;"",$F13="Doing"),COUNTIFS($B$2:$B13,"&lt;&gt;",$F$2:$F13,"Doing"),"")</f>
        <v/>
      </c>
      <c r="N13">
        <f>IF(AND($B13&lt;&gt;"",$F13="Done"),COUNTIFS($B$2:$B13,"&lt;&gt;",$F$2:$F13,"Done"),"")</f>
        <v/>
      </c>
      <c r="O13">
        <f>IF($B13="","",$B13&amp;"  |  "&amp;IF($D13="","담당자 미지정",$D13)&amp;IF($H13="",""," · ~"&amp;TEXT($H13,"m/d"))&amp;IF($E13="높음"," 🔺","")&amp;IF(AND($F13&lt;&gt;"Done",$H13&lt;&gt;"",$H13&lt;TODAY())," ⚠",""))</f>
        <v/>
      </c>
    </row>
    <row r="14">
      <c r="A14" s="33">
        <f>IF($B14="","",COUNTA($B$2:$B14))</f>
        <v/>
      </c>
      <c r="B14" s="34" t="n"/>
      <c r="C14" s="34" t="n"/>
      <c r="D14" s="33" t="n"/>
      <c r="E14" s="33" t="n"/>
      <c r="F14" s="33" t="n"/>
      <c r="G14" s="35" t="n"/>
      <c r="H14" s="35" t="n"/>
      <c r="I14" s="36" t="n"/>
      <c r="J14" s="33">
        <f>IF($B14="","",IF($F14="Done","✔ 완료",IF($H14="","—",IF($H14&lt;TODAY(),"⚠ "&amp;(TODAY()-$H14)&amp;"일 지연",IF($H14=TODAY(),"🔔 오늘 마감","D-"&amp;($H14-TODAY()))))))</f>
        <v/>
      </c>
      <c r="K14" s="34" t="n"/>
      <c r="L14">
        <f>IF(AND($B14&lt;&gt;"",$F14="To Do"),COUNTIFS($B$2:$B14,"&lt;&gt;",$F$2:$F14,"To Do"),"")</f>
        <v/>
      </c>
      <c r="M14">
        <f>IF(AND($B14&lt;&gt;"",$F14="Doing"),COUNTIFS($B$2:$B14,"&lt;&gt;",$F$2:$F14,"Doing"),"")</f>
        <v/>
      </c>
      <c r="N14">
        <f>IF(AND($B14&lt;&gt;"",$F14="Done"),COUNTIFS($B$2:$B14,"&lt;&gt;",$F$2:$F14,"Done"),"")</f>
        <v/>
      </c>
      <c r="O14">
        <f>IF($B14="","",$B14&amp;"  |  "&amp;IF($D14="","담당자 미지정",$D14)&amp;IF($H14="",""," · ~"&amp;TEXT($H14,"m/d"))&amp;IF($E14="높음"," 🔺","")&amp;IF(AND($F14&lt;&gt;"Done",$H14&lt;&gt;"",$H14&lt;TODAY())," ⚠",""))</f>
        <v/>
      </c>
    </row>
    <row r="15">
      <c r="A15" s="33">
        <f>IF($B15="","",COUNTA($B$2:$B15))</f>
        <v/>
      </c>
      <c r="B15" s="34" t="n"/>
      <c r="C15" s="34" t="n"/>
      <c r="D15" s="33" t="n"/>
      <c r="E15" s="33" t="n"/>
      <c r="F15" s="33" t="n"/>
      <c r="G15" s="35" t="n"/>
      <c r="H15" s="35" t="n"/>
      <c r="I15" s="36" t="n"/>
      <c r="J15" s="33">
        <f>IF($B15="","",IF($F15="Done","✔ 완료",IF($H15="","—",IF($H15&lt;TODAY(),"⚠ "&amp;(TODAY()-$H15)&amp;"일 지연",IF($H15=TODAY(),"🔔 오늘 마감","D-"&amp;($H15-TODAY()))))))</f>
        <v/>
      </c>
      <c r="K15" s="34" t="n"/>
      <c r="L15">
        <f>IF(AND($B15&lt;&gt;"",$F15="To Do"),COUNTIFS($B$2:$B15,"&lt;&gt;",$F$2:$F15,"To Do"),"")</f>
        <v/>
      </c>
      <c r="M15">
        <f>IF(AND($B15&lt;&gt;"",$F15="Doing"),COUNTIFS($B$2:$B15,"&lt;&gt;",$F$2:$F15,"Doing"),"")</f>
        <v/>
      </c>
      <c r="N15">
        <f>IF(AND($B15&lt;&gt;"",$F15="Done"),COUNTIFS($B$2:$B15,"&lt;&gt;",$F$2:$F15,"Done"),"")</f>
        <v/>
      </c>
      <c r="O15">
        <f>IF($B15="","",$B15&amp;"  |  "&amp;IF($D15="","담당자 미지정",$D15)&amp;IF($H15="",""," · ~"&amp;TEXT($H15,"m/d"))&amp;IF($E15="높음"," 🔺","")&amp;IF(AND($F15&lt;&gt;"Done",$H15&lt;&gt;"",$H15&lt;TODAY())," ⚠",""))</f>
        <v/>
      </c>
    </row>
    <row r="16">
      <c r="A16" s="33">
        <f>IF($B16="","",COUNTA($B$2:$B16))</f>
        <v/>
      </c>
      <c r="B16" s="34" t="n"/>
      <c r="C16" s="34" t="n"/>
      <c r="D16" s="33" t="n"/>
      <c r="E16" s="33" t="n"/>
      <c r="F16" s="33" t="n"/>
      <c r="G16" s="35" t="n"/>
      <c r="H16" s="35" t="n"/>
      <c r="I16" s="36" t="n"/>
      <c r="J16" s="33">
        <f>IF($B16="","",IF($F16="Done","✔ 완료",IF($H16="","—",IF($H16&lt;TODAY(),"⚠ "&amp;(TODAY()-$H16)&amp;"일 지연",IF($H16=TODAY(),"🔔 오늘 마감","D-"&amp;($H16-TODAY()))))))</f>
        <v/>
      </c>
      <c r="K16" s="34" t="n"/>
      <c r="L16">
        <f>IF(AND($B16&lt;&gt;"",$F16="To Do"),COUNTIFS($B$2:$B16,"&lt;&gt;",$F$2:$F16,"To Do"),"")</f>
        <v/>
      </c>
      <c r="M16">
        <f>IF(AND($B16&lt;&gt;"",$F16="Doing"),COUNTIFS($B$2:$B16,"&lt;&gt;",$F$2:$F16,"Doing"),"")</f>
        <v/>
      </c>
      <c r="N16">
        <f>IF(AND($B16&lt;&gt;"",$F16="Done"),COUNTIFS($B$2:$B16,"&lt;&gt;",$F$2:$F16,"Done"),"")</f>
        <v/>
      </c>
      <c r="O16">
        <f>IF($B16="","",$B16&amp;"  |  "&amp;IF($D16="","담당자 미지정",$D16)&amp;IF($H16="",""," · ~"&amp;TEXT($H16,"m/d"))&amp;IF($E16="높음"," 🔺","")&amp;IF(AND($F16&lt;&gt;"Done",$H16&lt;&gt;"",$H16&lt;TODAY())," ⚠",""))</f>
        <v/>
      </c>
    </row>
    <row r="17">
      <c r="A17" s="33">
        <f>IF($B17="","",COUNTA($B$2:$B17))</f>
        <v/>
      </c>
      <c r="B17" s="34" t="n"/>
      <c r="C17" s="34" t="n"/>
      <c r="D17" s="33" t="n"/>
      <c r="E17" s="33" t="n"/>
      <c r="F17" s="33" t="n"/>
      <c r="G17" s="35" t="n"/>
      <c r="H17" s="35" t="n"/>
      <c r="I17" s="36" t="n"/>
      <c r="J17" s="33">
        <f>IF($B17="","",IF($F17="Done","✔ 완료",IF($H17="","—",IF($H17&lt;TODAY(),"⚠ "&amp;(TODAY()-$H17)&amp;"일 지연",IF($H17=TODAY(),"🔔 오늘 마감","D-"&amp;($H17-TODAY()))))))</f>
        <v/>
      </c>
      <c r="K17" s="34" t="n"/>
      <c r="L17">
        <f>IF(AND($B17&lt;&gt;"",$F17="To Do"),COUNTIFS($B$2:$B17,"&lt;&gt;",$F$2:$F17,"To Do"),"")</f>
        <v/>
      </c>
      <c r="M17">
        <f>IF(AND($B17&lt;&gt;"",$F17="Doing"),COUNTIFS($B$2:$B17,"&lt;&gt;",$F$2:$F17,"Doing"),"")</f>
        <v/>
      </c>
      <c r="N17">
        <f>IF(AND($B17&lt;&gt;"",$F17="Done"),COUNTIFS($B$2:$B17,"&lt;&gt;",$F$2:$F17,"Done"),"")</f>
        <v/>
      </c>
      <c r="O17">
        <f>IF($B17="","",$B17&amp;"  |  "&amp;IF($D17="","담당자 미지정",$D17)&amp;IF($H17="",""," · ~"&amp;TEXT($H17,"m/d"))&amp;IF($E17="높음"," 🔺","")&amp;IF(AND($F17&lt;&gt;"Done",$H17&lt;&gt;"",$H17&lt;TODAY())," ⚠",""))</f>
        <v/>
      </c>
    </row>
    <row r="18">
      <c r="A18" s="33">
        <f>IF($B18="","",COUNTA($B$2:$B18))</f>
        <v/>
      </c>
      <c r="B18" s="34" t="n"/>
      <c r="C18" s="34" t="n"/>
      <c r="D18" s="33" t="n"/>
      <c r="E18" s="33" t="n"/>
      <c r="F18" s="33" t="n"/>
      <c r="G18" s="35" t="n"/>
      <c r="H18" s="35" t="n"/>
      <c r="I18" s="36" t="n"/>
      <c r="J18" s="33">
        <f>IF($B18="","",IF($F18="Done","✔ 완료",IF($H18="","—",IF($H18&lt;TODAY(),"⚠ "&amp;(TODAY()-$H18)&amp;"일 지연",IF($H18=TODAY(),"🔔 오늘 마감","D-"&amp;($H18-TODAY()))))))</f>
        <v/>
      </c>
      <c r="K18" s="34" t="n"/>
      <c r="L18">
        <f>IF(AND($B18&lt;&gt;"",$F18="To Do"),COUNTIFS($B$2:$B18,"&lt;&gt;",$F$2:$F18,"To Do"),"")</f>
        <v/>
      </c>
      <c r="M18">
        <f>IF(AND($B18&lt;&gt;"",$F18="Doing"),COUNTIFS($B$2:$B18,"&lt;&gt;",$F$2:$F18,"Doing"),"")</f>
        <v/>
      </c>
      <c r="N18">
        <f>IF(AND($B18&lt;&gt;"",$F18="Done"),COUNTIFS($B$2:$B18,"&lt;&gt;",$F$2:$F18,"Done"),"")</f>
        <v/>
      </c>
      <c r="O18">
        <f>IF($B18="","",$B18&amp;"  |  "&amp;IF($D18="","담당자 미지정",$D18)&amp;IF($H18="",""," · ~"&amp;TEXT($H18,"m/d"))&amp;IF($E18="높음"," 🔺","")&amp;IF(AND($F18&lt;&gt;"Done",$H18&lt;&gt;"",$H18&lt;TODAY())," ⚠",""))</f>
        <v/>
      </c>
    </row>
    <row r="19">
      <c r="A19" s="33">
        <f>IF($B19="","",COUNTA($B$2:$B19))</f>
        <v/>
      </c>
      <c r="B19" s="34" t="n"/>
      <c r="C19" s="34" t="n"/>
      <c r="D19" s="33" t="n"/>
      <c r="E19" s="33" t="n"/>
      <c r="F19" s="33" t="n"/>
      <c r="G19" s="35" t="n"/>
      <c r="H19" s="35" t="n"/>
      <c r="I19" s="36" t="n"/>
      <c r="J19" s="33">
        <f>IF($B19="","",IF($F19="Done","✔ 완료",IF($H19="","—",IF($H19&lt;TODAY(),"⚠ "&amp;(TODAY()-$H19)&amp;"일 지연",IF($H19=TODAY(),"🔔 오늘 마감","D-"&amp;($H19-TODAY()))))))</f>
        <v/>
      </c>
      <c r="K19" s="34" t="n"/>
      <c r="L19">
        <f>IF(AND($B19&lt;&gt;"",$F19="To Do"),COUNTIFS($B$2:$B19,"&lt;&gt;",$F$2:$F19,"To Do"),"")</f>
        <v/>
      </c>
      <c r="M19">
        <f>IF(AND($B19&lt;&gt;"",$F19="Doing"),COUNTIFS($B$2:$B19,"&lt;&gt;",$F$2:$F19,"Doing"),"")</f>
        <v/>
      </c>
      <c r="N19">
        <f>IF(AND($B19&lt;&gt;"",$F19="Done"),COUNTIFS($B$2:$B19,"&lt;&gt;",$F$2:$F19,"Done"),"")</f>
        <v/>
      </c>
      <c r="O19">
        <f>IF($B19="","",$B19&amp;"  |  "&amp;IF($D19="","담당자 미지정",$D19)&amp;IF($H19="",""," · ~"&amp;TEXT($H19,"m/d"))&amp;IF($E19="높음"," 🔺","")&amp;IF(AND($F19&lt;&gt;"Done",$H19&lt;&gt;"",$H19&lt;TODAY())," ⚠",""))</f>
        <v/>
      </c>
    </row>
    <row r="20">
      <c r="A20" s="33">
        <f>IF($B20="","",COUNTA($B$2:$B20))</f>
        <v/>
      </c>
      <c r="B20" s="34" t="n"/>
      <c r="C20" s="34" t="n"/>
      <c r="D20" s="33" t="n"/>
      <c r="E20" s="33" t="n"/>
      <c r="F20" s="33" t="n"/>
      <c r="G20" s="35" t="n"/>
      <c r="H20" s="35" t="n"/>
      <c r="I20" s="36" t="n"/>
      <c r="J20" s="33">
        <f>IF($B20="","",IF($F20="Done","✔ 완료",IF($H20="","—",IF($H20&lt;TODAY(),"⚠ "&amp;(TODAY()-$H20)&amp;"일 지연",IF($H20=TODAY(),"🔔 오늘 마감","D-"&amp;($H20-TODAY()))))))</f>
        <v/>
      </c>
      <c r="K20" s="34" t="n"/>
      <c r="L20">
        <f>IF(AND($B20&lt;&gt;"",$F20="To Do"),COUNTIFS($B$2:$B20,"&lt;&gt;",$F$2:$F20,"To Do"),"")</f>
        <v/>
      </c>
      <c r="M20">
        <f>IF(AND($B20&lt;&gt;"",$F20="Doing"),COUNTIFS($B$2:$B20,"&lt;&gt;",$F$2:$F20,"Doing"),"")</f>
        <v/>
      </c>
      <c r="N20">
        <f>IF(AND($B20&lt;&gt;"",$F20="Done"),COUNTIFS($B$2:$B20,"&lt;&gt;",$F$2:$F20,"Done"),"")</f>
        <v/>
      </c>
      <c r="O20">
        <f>IF($B20="","",$B20&amp;"  |  "&amp;IF($D20="","담당자 미지정",$D20)&amp;IF($H20="",""," · ~"&amp;TEXT($H20,"m/d"))&amp;IF($E20="높음"," 🔺","")&amp;IF(AND($F20&lt;&gt;"Done",$H20&lt;&gt;"",$H20&lt;TODAY())," ⚠",""))</f>
        <v/>
      </c>
    </row>
    <row r="21">
      <c r="A21" s="33">
        <f>IF($B21="","",COUNTA($B$2:$B21))</f>
        <v/>
      </c>
      <c r="B21" s="34" t="n"/>
      <c r="C21" s="34" t="n"/>
      <c r="D21" s="33" t="n"/>
      <c r="E21" s="33" t="n"/>
      <c r="F21" s="33" t="n"/>
      <c r="G21" s="35" t="n"/>
      <c r="H21" s="35" t="n"/>
      <c r="I21" s="36" t="n"/>
      <c r="J21" s="33">
        <f>IF($B21="","",IF($F21="Done","✔ 완료",IF($H21="","—",IF($H21&lt;TODAY(),"⚠ "&amp;(TODAY()-$H21)&amp;"일 지연",IF($H21=TODAY(),"🔔 오늘 마감","D-"&amp;($H21-TODAY()))))))</f>
        <v/>
      </c>
      <c r="K21" s="34" t="n"/>
      <c r="L21">
        <f>IF(AND($B21&lt;&gt;"",$F21="To Do"),COUNTIFS($B$2:$B21,"&lt;&gt;",$F$2:$F21,"To Do"),"")</f>
        <v/>
      </c>
      <c r="M21">
        <f>IF(AND($B21&lt;&gt;"",$F21="Doing"),COUNTIFS($B$2:$B21,"&lt;&gt;",$F$2:$F21,"Doing"),"")</f>
        <v/>
      </c>
      <c r="N21">
        <f>IF(AND($B21&lt;&gt;"",$F21="Done"),COUNTIFS($B$2:$B21,"&lt;&gt;",$F$2:$F21,"Done"),"")</f>
        <v/>
      </c>
      <c r="O21">
        <f>IF($B21="","",$B21&amp;"  |  "&amp;IF($D21="","담당자 미지정",$D21)&amp;IF($H21="",""," · ~"&amp;TEXT($H21,"m/d"))&amp;IF($E21="높음"," 🔺","")&amp;IF(AND($F21&lt;&gt;"Done",$H21&lt;&gt;"",$H21&lt;TODAY())," ⚠",""))</f>
        <v/>
      </c>
    </row>
    <row r="22">
      <c r="A22" s="33">
        <f>IF($B22="","",COUNTA($B$2:$B22))</f>
        <v/>
      </c>
      <c r="B22" s="34" t="n"/>
      <c r="C22" s="34" t="n"/>
      <c r="D22" s="33" t="n"/>
      <c r="E22" s="33" t="n"/>
      <c r="F22" s="33" t="n"/>
      <c r="G22" s="35" t="n"/>
      <c r="H22" s="35" t="n"/>
      <c r="I22" s="36" t="n"/>
      <c r="J22" s="33">
        <f>IF($B22="","",IF($F22="Done","✔ 완료",IF($H22="","—",IF($H22&lt;TODAY(),"⚠ "&amp;(TODAY()-$H22)&amp;"일 지연",IF($H22=TODAY(),"🔔 오늘 마감","D-"&amp;($H22-TODAY()))))))</f>
        <v/>
      </c>
      <c r="K22" s="34" t="n"/>
      <c r="L22">
        <f>IF(AND($B22&lt;&gt;"",$F22="To Do"),COUNTIFS($B$2:$B22,"&lt;&gt;",$F$2:$F22,"To Do"),"")</f>
        <v/>
      </c>
      <c r="M22">
        <f>IF(AND($B22&lt;&gt;"",$F22="Doing"),COUNTIFS($B$2:$B22,"&lt;&gt;",$F$2:$F22,"Doing"),"")</f>
        <v/>
      </c>
      <c r="N22">
        <f>IF(AND($B22&lt;&gt;"",$F22="Done"),COUNTIFS($B$2:$B22,"&lt;&gt;",$F$2:$F22,"Done"),"")</f>
        <v/>
      </c>
      <c r="O22">
        <f>IF($B22="","",$B22&amp;"  |  "&amp;IF($D22="","담당자 미지정",$D22)&amp;IF($H22="",""," · ~"&amp;TEXT($H22,"m/d"))&amp;IF($E22="높음"," 🔺","")&amp;IF(AND($F22&lt;&gt;"Done",$H22&lt;&gt;"",$H22&lt;TODAY())," ⚠",""))</f>
        <v/>
      </c>
    </row>
    <row r="23">
      <c r="A23" s="33">
        <f>IF($B23="","",COUNTA($B$2:$B23))</f>
        <v/>
      </c>
      <c r="B23" s="34" t="n"/>
      <c r="C23" s="34" t="n"/>
      <c r="D23" s="33" t="n"/>
      <c r="E23" s="33" t="n"/>
      <c r="F23" s="33" t="n"/>
      <c r="G23" s="35" t="n"/>
      <c r="H23" s="35" t="n"/>
      <c r="I23" s="36" t="n"/>
      <c r="J23" s="33">
        <f>IF($B23="","",IF($F23="Done","✔ 완료",IF($H23="","—",IF($H23&lt;TODAY(),"⚠ "&amp;(TODAY()-$H23)&amp;"일 지연",IF($H23=TODAY(),"🔔 오늘 마감","D-"&amp;($H23-TODAY()))))))</f>
        <v/>
      </c>
      <c r="K23" s="34" t="n"/>
      <c r="L23">
        <f>IF(AND($B23&lt;&gt;"",$F23="To Do"),COUNTIFS($B$2:$B23,"&lt;&gt;",$F$2:$F23,"To Do"),"")</f>
        <v/>
      </c>
      <c r="M23">
        <f>IF(AND($B23&lt;&gt;"",$F23="Doing"),COUNTIFS($B$2:$B23,"&lt;&gt;",$F$2:$F23,"Doing"),"")</f>
        <v/>
      </c>
      <c r="N23">
        <f>IF(AND($B23&lt;&gt;"",$F23="Done"),COUNTIFS($B$2:$B23,"&lt;&gt;",$F$2:$F23,"Done"),"")</f>
        <v/>
      </c>
      <c r="O23">
        <f>IF($B23="","",$B23&amp;"  |  "&amp;IF($D23="","담당자 미지정",$D23)&amp;IF($H23="",""," · ~"&amp;TEXT($H23,"m/d"))&amp;IF($E23="높음"," 🔺","")&amp;IF(AND($F23&lt;&gt;"Done",$H23&lt;&gt;"",$H23&lt;TODAY())," ⚠",""))</f>
        <v/>
      </c>
    </row>
    <row r="24">
      <c r="A24" s="33">
        <f>IF($B24="","",COUNTA($B$2:$B24))</f>
        <v/>
      </c>
      <c r="B24" s="34" t="n"/>
      <c r="C24" s="34" t="n"/>
      <c r="D24" s="33" t="n"/>
      <c r="E24" s="33" t="n"/>
      <c r="F24" s="33" t="n"/>
      <c r="G24" s="35" t="n"/>
      <c r="H24" s="35" t="n"/>
      <c r="I24" s="36" t="n"/>
      <c r="J24" s="33">
        <f>IF($B24="","",IF($F24="Done","✔ 완료",IF($H24="","—",IF($H24&lt;TODAY(),"⚠ "&amp;(TODAY()-$H24)&amp;"일 지연",IF($H24=TODAY(),"🔔 오늘 마감","D-"&amp;($H24-TODAY()))))))</f>
        <v/>
      </c>
      <c r="K24" s="34" t="n"/>
      <c r="L24">
        <f>IF(AND($B24&lt;&gt;"",$F24="To Do"),COUNTIFS($B$2:$B24,"&lt;&gt;",$F$2:$F24,"To Do"),"")</f>
        <v/>
      </c>
      <c r="M24">
        <f>IF(AND($B24&lt;&gt;"",$F24="Doing"),COUNTIFS($B$2:$B24,"&lt;&gt;",$F$2:$F24,"Doing"),"")</f>
        <v/>
      </c>
      <c r="N24">
        <f>IF(AND($B24&lt;&gt;"",$F24="Done"),COUNTIFS($B$2:$B24,"&lt;&gt;",$F$2:$F24,"Done"),"")</f>
        <v/>
      </c>
      <c r="O24">
        <f>IF($B24="","",$B24&amp;"  |  "&amp;IF($D24="","담당자 미지정",$D24)&amp;IF($H24="",""," · ~"&amp;TEXT($H24,"m/d"))&amp;IF($E24="높음"," 🔺","")&amp;IF(AND($F24&lt;&gt;"Done",$H24&lt;&gt;"",$H24&lt;TODAY())," ⚠",""))</f>
        <v/>
      </c>
    </row>
    <row r="25">
      <c r="A25" s="33">
        <f>IF($B25="","",COUNTA($B$2:$B25))</f>
        <v/>
      </c>
      <c r="B25" s="34" t="n"/>
      <c r="C25" s="34" t="n"/>
      <c r="D25" s="33" t="n"/>
      <c r="E25" s="33" t="n"/>
      <c r="F25" s="33" t="n"/>
      <c r="G25" s="35" t="n"/>
      <c r="H25" s="35" t="n"/>
      <c r="I25" s="36" t="n"/>
      <c r="J25" s="33">
        <f>IF($B25="","",IF($F25="Done","✔ 완료",IF($H25="","—",IF($H25&lt;TODAY(),"⚠ "&amp;(TODAY()-$H25)&amp;"일 지연",IF($H25=TODAY(),"🔔 오늘 마감","D-"&amp;($H25-TODAY()))))))</f>
        <v/>
      </c>
      <c r="K25" s="34" t="n"/>
      <c r="L25">
        <f>IF(AND($B25&lt;&gt;"",$F25="To Do"),COUNTIFS($B$2:$B25,"&lt;&gt;",$F$2:$F25,"To Do"),"")</f>
        <v/>
      </c>
      <c r="M25">
        <f>IF(AND($B25&lt;&gt;"",$F25="Doing"),COUNTIFS($B$2:$B25,"&lt;&gt;",$F$2:$F25,"Doing"),"")</f>
        <v/>
      </c>
      <c r="N25">
        <f>IF(AND($B25&lt;&gt;"",$F25="Done"),COUNTIFS($B$2:$B25,"&lt;&gt;",$F$2:$F25,"Done"),"")</f>
        <v/>
      </c>
      <c r="O25">
        <f>IF($B25="","",$B25&amp;"  |  "&amp;IF($D25="","담당자 미지정",$D25)&amp;IF($H25="",""," · ~"&amp;TEXT($H25,"m/d"))&amp;IF($E25="높음"," 🔺","")&amp;IF(AND($F25&lt;&gt;"Done",$H25&lt;&gt;"",$H25&lt;TODAY())," ⚠",""))</f>
        <v/>
      </c>
    </row>
    <row r="26">
      <c r="A26" s="33">
        <f>IF($B26="","",COUNTA($B$2:$B26))</f>
        <v/>
      </c>
      <c r="B26" s="34" t="n"/>
      <c r="C26" s="34" t="n"/>
      <c r="D26" s="33" t="n"/>
      <c r="E26" s="33" t="n"/>
      <c r="F26" s="33" t="n"/>
      <c r="G26" s="35" t="n"/>
      <c r="H26" s="35" t="n"/>
      <c r="I26" s="36" t="n"/>
      <c r="J26" s="33">
        <f>IF($B26="","",IF($F26="Done","✔ 완료",IF($H26="","—",IF($H26&lt;TODAY(),"⚠ "&amp;(TODAY()-$H26)&amp;"일 지연",IF($H26=TODAY(),"🔔 오늘 마감","D-"&amp;($H26-TODAY()))))))</f>
        <v/>
      </c>
      <c r="K26" s="34" t="n"/>
      <c r="L26">
        <f>IF(AND($B26&lt;&gt;"",$F26="To Do"),COUNTIFS($B$2:$B26,"&lt;&gt;",$F$2:$F26,"To Do"),"")</f>
        <v/>
      </c>
      <c r="M26">
        <f>IF(AND($B26&lt;&gt;"",$F26="Doing"),COUNTIFS($B$2:$B26,"&lt;&gt;",$F$2:$F26,"Doing"),"")</f>
        <v/>
      </c>
      <c r="N26">
        <f>IF(AND($B26&lt;&gt;"",$F26="Done"),COUNTIFS($B$2:$B26,"&lt;&gt;",$F$2:$F26,"Done"),"")</f>
        <v/>
      </c>
      <c r="O26">
        <f>IF($B26="","",$B26&amp;"  |  "&amp;IF($D26="","담당자 미지정",$D26)&amp;IF($H26="",""," · ~"&amp;TEXT($H26,"m/d"))&amp;IF($E26="높음"," 🔺","")&amp;IF(AND($F26&lt;&gt;"Done",$H26&lt;&gt;"",$H26&lt;TODAY())," ⚠",""))</f>
        <v/>
      </c>
    </row>
    <row r="27">
      <c r="A27" s="33">
        <f>IF($B27="","",COUNTA($B$2:$B27))</f>
        <v/>
      </c>
      <c r="B27" s="34" t="n"/>
      <c r="C27" s="34" t="n"/>
      <c r="D27" s="33" t="n"/>
      <c r="E27" s="33" t="n"/>
      <c r="F27" s="33" t="n"/>
      <c r="G27" s="35" t="n"/>
      <c r="H27" s="35" t="n"/>
      <c r="I27" s="36" t="n"/>
      <c r="J27" s="33">
        <f>IF($B27="","",IF($F27="Done","✔ 완료",IF($H27="","—",IF($H27&lt;TODAY(),"⚠ "&amp;(TODAY()-$H27)&amp;"일 지연",IF($H27=TODAY(),"🔔 오늘 마감","D-"&amp;($H27-TODAY()))))))</f>
        <v/>
      </c>
      <c r="K27" s="34" t="n"/>
      <c r="L27">
        <f>IF(AND($B27&lt;&gt;"",$F27="To Do"),COUNTIFS($B$2:$B27,"&lt;&gt;",$F$2:$F27,"To Do"),"")</f>
        <v/>
      </c>
      <c r="M27">
        <f>IF(AND($B27&lt;&gt;"",$F27="Doing"),COUNTIFS($B$2:$B27,"&lt;&gt;",$F$2:$F27,"Doing"),"")</f>
        <v/>
      </c>
      <c r="N27">
        <f>IF(AND($B27&lt;&gt;"",$F27="Done"),COUNTIFS($B$2:$B27,"&lt;&gt;",$F$2:$F27,"Done"),"")</f>
        <v/>
      </c>
      <c r="O27">
        <f>IF($B27="","",$B27&amp;"  |  "&amp;IF($D27="","담당자 미지정",$D27)&amp;IF($H27="",""," · ~"&amp;TEXT($H27,"m/d"))&amp;IF($E27="높음"," 🔺","")&amp;IF(AND($F27&lt;&gt;"Done",$H27&lt;&gt;"",$H27&lt;TODAY())," ⚠",""))</f>
        <v/>
      </c>
    </row>
    <row r="28">
      <c r="A28" s="33">
        <f>IF($B28="","",COUNTA($B$2:$B28))</f>
        <v/>
      </c>
      <c r="B28" s="34" t="n"/>
      <c r="C28" s="34" t="n"/>
      <c r="D28" s="33" t="n"/>
      <c r="E28" s="33" t="n"/>
      <c r="F28" s="33" t="n"/>
      <c r="G28" s="35" t="n"/>
      <c r="H28" s="35" t="n"/>
      <c r="I28" s="36" t="n"/>
      <c r="J28" s="33">
        <f>IF($B28="","",IF($F28="Done","✔ 완료",IF($H28="","—",IF($H28&lt;TODAY(),"⚠ "&amp;(TODAY()-$H28)&amp;"일 지연",IF($H28=TODAY(),"🔔 오늘 마감","D-"&amp;($H28-TODAY()))))))</f>
        <v/>
      </c>
      <c r="K28" s="34" t="n"/>
      <c r="L28">
        <f>IF(AND($B28&lt;&gt;"",$F28="To Do"),COUNTIFS($B$2:$B28,"&lt;&gt;",$F$2:$F28,"To Do"),"")</f>
        <v/>
      </c>
      <c r="M28">
        <f>IF(AND($B28&lt;&gt;"",$F28="Doing"),COUNTIFS($B$2:$B28,"&lt;&gt;",$F$2:$F28,"Doing"),"")</f>
        <v/>
      </c>
      <c r="N28">
        <f>IF(AND($B28&lt;&gt;"",$F28="Done"),COUNTIFS($B$2:$B28,"&lt;&gt;",$F$2:$F28,"Done"),"")</f>
        <v/>
      </c>
      <c r="O28">
        <f>IF($B28="","",$B28&amp;"  |  "&amp;IF($D28="","담당자 미지정",$D28)&amp;IF($H28="",""," · ~"&amp;TEXT($H28,"m/d"))&amp;IF($E28="높음"," 🔺","")&amp;IF(AND($F28&lt;&gt;"Done",$H28&lt;&gt;"",$H28&lt;TODAY())," ⚠",""))</f>
        <v/>
      </c>
    </row>
    <row r="29">
      <c r="A29" s="33">
        <f>IF($B29="","",COUNTA($B$2:$B29))</f>
        <v/>
      </c>
      <c r="B29" s="34" t="n"/>
      <c r="C29" s="34" t="n"/>
      <c r="D29" s="33" t="n"/>
      <c r="E29" s="33" t="n"/>
      <c r="F29" s="33" t="n"/>
      <c r="G29" s="35" t="n"/>
      <c r="H29" s="35" t="n"/>
      <c r="I29" s="36" t="n"/>
      <c r="J29" s="33">
        <f>IF($B29="","",IF($F29="Done","✔ 완료",IF($H29="","—",IF($H29&lt;TODAY(),"⚠ "&amp;(TODAY()-$H29)&amp;"일 지연",IF($H29=TODAY(),"🔔 오늘 마감","D-"&amp;($H29-TODAY()))))))</f>
        <v/>
      </c>
      <c r="K29" s="34" t="n"/>
      <c r="L29">
        <f>IF(AND($B29&lt;&gt;"",$F29="To Do"),COUNTIFS($B$2:$B29,"&lt;&gt;",$F$2:$F29,"To Do"),"")</f>
        <v/>
      </c>
      <c r="M29">
        <f>IF(AND($B29&lt;&gt;"",$F29="Doing"),COUNTIFS($B$2:$B29,"&lt;&gt;",$F$2:$F29,"Doing"),"")</f>
        <v/>
      </c>
      <c r="N29">
        <f>IF(AND($B29&lt;&gt;"",$F29="Done"),COUNTIFS($B$2:$B29,"&lt;&gt;",$F$2:$F29,"Done"),"")</f>
        <v/>
      </c>
      <c r="O29">
        <f>IF($B29="","",$B29&amp;"  |  "&amp;IF($D29="","담당자 미지정",$D29)&amp;IF($H29="",""," · ~"&amp;TEXT($H29,"m/d"))&amp;IF($E29="높음"," 🔺","")&amp;IF(AND($F29&lt;&gt;"Done",$H29&lt;&gt;"",$H29&lt;TODAY())," ⚠",""))</f>
        <v/>
      </c>
    </row>
    <row r="30">
      <c r="A30" s="33">
        <f>IF($B30="","",COUNTA($B$2:$B30))</f>
        <v/>
      </c>
      <c r="B30" s="34" t="n"/>
      <c r="C30" s="34" t="n"/>
      <c r="D30" s="33" t="n"/>
      <c r="E30" s="33" t="n"/>
      <c r="F30" s="33" t="n"/>
      <c r="G30" s="35" t="n"/>
      <c r="H30" s="35" t="n"/>
      <c r="I30" s="36" t="n"/>
      <c r="J30" s="33">
        <f>IF($B30="","",IF($F30="Done","✔ 완료",IF($H30="","—",IF($H30&lt;TODAY(),"⚠ "&amp;(TODAY()-$H30)&amp;"일 지연",IF($H30=TODAY(),"🔔 오늘 마감","D-"&amp;($H30-TODAY()))))))</f>
        <v/>
      </c>
      <c r="K30" s="34" t="n"/>
      <c r="L30">
        <f>IF(AND($B30&lt;&gt;"",$F30="To Do"),COUNTIFS($B$2:$B30,"&lt;&gt;",$F$2:$F30,"To Do"),"")</f>
        <v/>
      </c>
      <c r="M30">
        <f>IF(AND($B30&lt;&gt;"",$F30="Doing"),COUNTIFS($B$2:$B30,"&lt;&gt;",$F$2:$F30,"Doing"),"")</f>
        <v/>
      </c>
      <c r="N30">
        <f>IF(AND($B30&lt;&gt;"",$F30="Done"),COUNTIFS($B$2:$B30,"&lt;&gt;",$F$2:$F30,"Done"),"")</f>
        <v/>
      </c>
      <c r="O30">
        <f>IF($B30="","",$B30&amp;"  |  "&amp;IF($D30="","담당자 미지정",$D30)&amp;IF($H30="",""," · ~"&amp;TEXT($H30,"m/d"))&amp;IF($E30="높음"," 🔺","")&amp;IF(AND($F30&lt;&gt;"Done",$H30&lt;&gt;"",$H30&lt;TODAY())," ⚠",""))</f>
        <v/>
      </c>
    </row>
    <row r="31">
      <c r="A31" s="33">
        <f>IF($B31="","",COUNTA($B$2:$B31))</f>
        <v/>
      </c>
      <c r="B31" s="34" t="n"/>
      <c r="C31" s="34" t="n"/>
      <c r="D31" s="33" t="n"/>
      <c r="E31" s="33" t="n"/>
      <c r="F31" s="33" t="n"/>
      <c r="G31" s="35" t="n"/>
      <c r="H31" s="35" t="n"/>
      <c r="I31" s="36" t="n"/>
      <c r="J31" s="33">
        <f>IF($B31="","",IF($F31="Done","✔ 완료",IF($H31="","—",IF($H31&lt;TODAY(),"⚠ "&amp;(TODAY()-$H31)&amp;"일 지연",IF($H31=TODAY(),"🔔 오늘 마감","D-"&amp;($H31-TODAY()))))))</f>
        <v/>
      </c>
      <c r="K31" s="34" t="n"/>
      <c r="L31">
        <f>IF(AND($B31&lt;&gt;"",$F31="To Do"),COUNTIFS($B$2:$B31,"&lt;&gt;",$F$2:$F31,"To Do"),"")</f>
        <v/>
      </c>
      <c r="M31">
        <f>IF(AND($B31&lt;&gt;"",$F31="Doing"),COUNTIFS($B$2:$B31,"&lt;&gt;",$F$2:$F31,"Doing"),"")</f>
        <v/>
      </c>
      <c r="N31">
        <f>IF(AND($B31&lt;&gt;"",$F31="Done"),COUNTIFS($B$2:$B31,"&lt;&gt;",$F$2:$F31,"Done"),"")</f>
        <v/>
      </c>
      <c r="O31">
        <f>IF($B31="","",$B31&amp;"  |  "&amp;IF($D31="","담당자 미지정",$D31)&amp;IF($H31="",""," · ~"&amp;TEXT($H31,"m/d"))&amp;IF($E31="높음"," 🔺","")&amp;IF(AND($F31&lt;&gt;"Done",$H31&lt;&gt;"",$H31&lt;TODAY())," ⚠",""))</f>
        <v/>
      </c>
    </row>
    <row r="32">
      <c r="A32" s="33">
        <f>IF($B32="","",COUNTA($B$2:$B32))</f>
        <v/>
      </c>
      <c r="B32" s="34" t="n"/>
      <c r="C32" s="34" t="n"/>
      <c r="D32" s="33" t="n"/>
      <c r="E32" s="33" t="n"/>
      <c r="F32" s="33" t="n"/>
      <c r="G32" s="35" t="n"/>
      <c r="H32" s="35" t="n"/>
      <c r="I32" s="36" t="n"/>
      <c r="J32" s="33">
        <f>IF($B32="","",IF($F32="Done","✔ 완료",IF($H32="","—",IF($H32&lt;TODAY(),"⚠ "&amp;(TODAY()-$H32)&amp;"일 지연",IF($H32=TODAY(),"🔔 오늘 마감","D-"&amp;($H32-TODAY()))))))</f>
        <v/>
      </c>
      <c r="K32" s="34" t="n"/>
      <c r="L32">
        <f>IF(AND($B32&lt;&gt;"",$F32="To Do"),COUNTIFS($B$2:$B32,"&lt;&gt;",$F$2:$F32,"To Do"),"")</f>
        <v/>
      </c>
      <c r="M32">
        <f>IF(AND($B32&lt;&gt;"",$F32="Doing"),COUNTIFS($B$2:$B32,"&lt;&gt;",$F$2:$F32,"Doing"),"")</f>
        <v/>
      </c>
      <c r="N32">
        <f>IF(AND($B32&lt;&gt;"",$F32="Done"),COUNTIFS($B$2:$B32,"&lt;&gt;",$F$2:$F32,"Done"),"")</f>
        <v/>
      </c>
      <c r="O32">
        <f>IF($B32="","",$B32&amp;"  |  "&amp;IF($D32="","담당자 미지정",$D32)&amp;IF($H32="",""," · ~"&amp;TEXT($H32,"m/d"))&amp;IF($E32="높음"," 🔺","")&amp;IF(AND($F32&lt;&gt;"Done",$H32&lt;&gt;"",$H32&lt;TODAY())," ⚠",""))</f>
        <v/>
      </c>
    </row>
    <row r="33">
      <c r="A33" s="33">
        <f>IF($B33="","",COUNTA($B$2:$B33))</f>
        <v/>
      </c>
      <c r="B33" s="34" t="n"/>
      <c r="C33" s="34" t="n"/>
      <c r="D33" s="33" t="n"/>
      <c r="E33" s="33" t="n"/>
      <c r="F33" s="33" t="n"/>
      <c r="G33" s="35" t="n"/>
      <c r="H33" s="35" t="n"/>
      <c r="I33" s="36" t="n"/>
      <c r="J33" s="33">
        <f>IF($B33="","",IF($F33="Done","✔ 완료",IF($H33="","—",IF($H33&lt;TODAY(),"⚠ "&amp;(TODAY()-$H33)&amp;"일 지연",IF($H33=TODAY(),"🔔 오늘 마감","D-"&amp;($H33-TODAY()))))))</f>
        <v/>
      </c>
      <c r="K33" s="34" t="n"/>
      <c r="L33">
        <f>IF(AND($B33&lt;&gt;"",$F33="To Do"),COUNTIFS($B$2:$B33,"&lt;&gt;",$F$2:$F33,"To Do"),"")</f>
        <v/>
      </c>
      <c r="M33">
        <f>IF(AND($B33&lt;&gt;"",$F33="Doing"),COUNTIFS($B$2:$B33,"&lt;&gt;",$F$2:$F33,"Doing"),"")</f>
        <v/>
      </c>
      <c r="N33">
        <f>IF(AND($B33&lt;&gt;"",$F33="Done"),COUNTIFS($B$2:$B33,"&lt;&gt;",$F$2:$F33,"Done"),"")</f>
        <v/>
      </c>
      <c r="O33">
        <f>IF($B33="","",$B33&amp;"  |  "&amp;IF($D33="","담당자 미지정",$D33)&amp;IF($H33="",""," · ~"&amp;TEXT($H33,"m/d"))&amp;IF($E33="높음"," 🔺","")&amp;IF(AND($F33&lt;&gt;"Done",$H33&lt;&gt;"",$H33&lt;TODAY())," ⚠",""))</f>
        <v/>
      </c>
    </row>
    <row r="34">
      <c r="A34" s="33">
        <f>IF($B34="","",COUNTA($B$2:$B34))</f>
        <v/>
      </c>
      <c r="B34" s="34" t="n"/>
      <c r="C34" s="34" t="n"/>
      <c r="D34" s="33" t="n"/>
      <c r="E34" s="33" t="n"/>
      <c r="F34" s="33" t="n"/>
      <c r="G34" s="35" t="n"/>
      <c r="H34" s="35" t="n"/>
      <c r="I34" s="36" t="n"/>
      <c r="J34" s="33">
        <f>IF($B34="","",IF($F34="Done","✔ 완료",IF($H34="","—",IF($H34&lt;TODAY(),"⚠ "&amp;(TODAY()-$H34)&amp;"일 지연",IF($H34=TODAY(),"🔔 오늘 마감","D-"&amp;($H34-TODAY()))))))</f>
        <v/>
      </c>
      <c r="K34" s="34" t="n"/>
      <c r="L34">
        <f>IF(AND($B34&lt;&gt;"",$F34="To Do"),COUNTIFS($B$2:$B34,"&lt;&gt;",$F$2:$F34,"To Do"),"")</f>
        <v/>
      </c>
      <c r="M34">
        <f>IF(AND($B34&lt;&gt;"",$F34="Doing"),COUNTIFS($B$2:$B34,"&lt;&gt;",$F$2:$F34,"Doing"),"")</f>
        <v/>
      </c>
      <c r="N34">
        <f>IF(AND($B34&lt;&gt;"",$F34="Done"),COUNTIFS($B$2:$B34,"&lt;&gt;",$F$2:$F34,"Done"),"")</f>
        <v/>
      </c>
      <c r="O34">
        <f>IF($B34="","",$B34&amp;"  |  "&amp;IF($D34="","담당자 미지정",$D34)&amp;IF($H34="",""," · ~"&amp;TEXT($H34,"m/d"))&amp;IF($E34="높음"," 🔺","")&amp;IF(AND($F34&lt;&gt;"Done",$H34&lt;&gt;"",$H34&lt;TODAY())," ⚠",""))</f>
        <v/>
      </c>
    </row>
    <row r="35">
      <c r="A35" s="33">
        <f>IF($B35="","",COUNTA($B$2:$B35))</f>
        <v/>
      </c>
      <c r="B35" s="34" t="n"/>
      <c r="C35" s="34" t="n"/>
      <c r="D35" s="33" t="n"/>
      <c r="E35" s="33" t="n"/>
      <c r="F35" s="33" t="n"/>
      <c r="G35" s="35" t="n"/>
      <c r="H35" s="35" t="n"/>
      <c r="I35" s="36" t="n"/>
      <c r="J35" s="33">
        <f>IF($B35="","",IF($F35="Done","✔ 완료",IF($H35="","—",IF($H35&lt;TODAY(),"⚠ "&amp;(TODAY()-$H35)&amp;"일 지연",IF($H35=TODAY(),"🔔 오늘 마감","D-"&amp;($H35-TODAY()))))))</f>
        <v/>
      </c>
      <c r="K35" s="34" t="n"/>
      <c r="L35">
        <f>IF(AND($B35&lt;&gt;"",$F35="To Do"),COUNTIFS($B$2:$B35,"&lt;&gt;",$F$2:$F35,"To Do"),"")</f>
        <v/>
      </c>
      <c r="M35">
        <f>IF(AND($B35&lt;&gt;"",$F35="Doing"),COUNTIFS($B$2:$B35,"&lt;&gt;",$F$2:$F35,"Doing"),"")</f>
        <v/>
      </c>
      <c r="N35">
        <f>IF(AND($B35&lt;&gt;"",$F35="Done"),COUNTIFS($B$2:$B35,"&lt;&gt;",$F$2:$F35,"Done"),"")</f>
        <v/>
      </c>
      <c r="O35">
        <f>IF($B35="","",$B35&amp;"  |  "&amp;IF($D35="","담당자 미지정",$D35)&amp;IF($H35="",""," · ~"&amp;TEXT($H35,"m/d"))&amp;IF($E35="높음"," 🔺","")&amp;IF(AND($F35&lt;&gt;"Done",$H35&lt;&gt;"",$H35&lt;TODAY())," ⚠",""))</f>
        <v/>
      </c>
    </row>
    <row r="36">
      <c r="A36" s="33">
        <f>IF($B36="","",COUNTA($B$2:$B36))</f>
        <v/>
      </c>
      <c r="B36" s="34" t="n"/>
      <c r="C36" s="34" t="n"/>
      <c r="D36" s="33" t="n"/>
      <c r="E36" s="33" t="n"/>
      <c r="F36" s="33" t="n"/>
      <c r="G36" s="35" t="n"/>
      <c r="H36" s="35" t="n"/>
      <c r="I36" s="36" t="n"/>
      <c r="J36" s="33">
        <f>IF($B36="","",IF($F36="Done","✔ 완료",IF($H36="","—",IF($H36&lt;TODAY(),"⚠ "&amp;(TODAY()-$H36)&amp;"일 지연",IF($H36=TODAY(),"🔔 오늘 마감","D-"&amp;($H36-TODAY()))))))</f>
        <v/>
      </c>
      <c r="K36" s="34" t="n"/>
      <c r="L36">
        <f>IF(AND($B36&lt;&gt;"",$F36="To Do"),COUNTIFS($B$2:$B36,"&lt;&gt;",$F$2:$F36,"To Do"),"")</f>
        <v/>
      </c>
      <c r="M36">
        <f>IF(AND($B36&lt;&gt;"",$F36="Doing"),COUNTIFS($B$2:$B36,"&lt;&gt;",$F$2:$F36,"Doing"),"")</f>
        <v/>
      </c>
      <c r="N36">
        <f>IF(AND($B36&lt;&gt;"",$F36="Done"),COUNTIFS($B$2:$B36,"&lt;&gt;",$F$2:$F36,"Done"),"")</f>
        <v/>
      </c>
      <c r="O36">
        <f>IF($B36="","",$B36&amp;"  |  "&amp;IF($D36="","담당자 미지정",$D36)&amp;IF($H36="",""," · ~"&amp;TEXT($H36,"m/d"))&amp;IF($E36="높음"," 🔺","")&amp;IF(AND($F36&lt;&gt;"Done",$H36&lt;&gt;"",$H36&lt;TODAY())," ⚠",""))</f>
        <v/>
      </c>
    </row>
    <row r="37">
      <c r="A37" s="33">
        <f>IF($B37="","",COUNTA($B$2:$B37))</f>
        <v/>
      </c>
      <c r="B37" s="34" t="n"/>
      <c r="C37" s="34" t="n"/>
      <c r="D37" s="33" t="n"/>
      <c r="E37" s="33" t="n"/>
      <c r="F37" s="33" t="n"/>
      <c r="G37" s="35" t="n"/>
      <c r="H37" s="35" t="n"/>
      <c r="I37" s="36" t="n"/>
      <c r="J37" s="33">
        <f>IF($B37="","",IF($F37="Done","✔ 완료",IF($H37="","—",IF($H37&lt;TODAY(),"⚠ "&amp;(TODAY()-$H37)&amp;"일 지연",IF($H37=TODAY(),"🔔 오늘 마감","D-"&amp;($H37-TODAY()))))))</f>
        <v/>
      </c>
      <c r="K37" s="34" t="n"/>
      <c r="L37">
        <f>IF(AND($B37&lt;&gt;"",$F37="To Do"),COUNTIFS($B$2:$B37,"&lt;&gt;",$F$2:$F37,"To Do"),"")</f>
        <v/>
      </c>
      <c r="M37">
        <f>IF(AND($B37&lt;&gt;"",$F37="Doing"),COUNTIFS($B$2:$B37,"&lt;&gt;",$F$2:$F37,"Doing"),"")</f>
        <v/>
      </c>
      <c r="N37">
        <f>IF(AND($B37&lt;&gt;"",$F37="Done"),COUNTIFS($B$2:$B37,"&lt;&gt;",$F$2:$F37,"Done"),"")</f>
        <v/>
      </c>
      <c r="O37">
        <f>IF($B37="","",$B37&amp;"  |  "&amp;IF($D37="","담당자 미지정",$D37)&amp;IF($H37="",""," · ~"&amp;TEXT($H37,"m/d"))&amp;IF($E37="높음"," 🔺","")&amp;IF(AND($F37&lt;&gt;"Done",$H37&lt;&gt;"",$H37&lt;TODAY())," ⚠",""))</f>
        <v/>
      </c>
    </row>
    <row r="38">
      <c r="A38" s="33">
        <f>IF($B38="","",COUNTA($B$2:$B38))</f>
        <v/>
      </c>
      <c r="B38" s="34" t="n"/>
      <c r="C38" s="34" t="n"/>
      <c r="D38" s="33" t="n"/>
      <c r="E38" s="33" t="n"/>
      <c r="F38" s="33" t="n"/>
      <c r="G38" s="35" t="n"/>
      <c r="H38" s="35" t="n"/>
      <c r="I38" s="36" t="n"/>
      <c r="J38" s="33">
        <f>IF($B38="","",IF($F38="Done","✔ 완료",IF($H38="","—",IF($H38&lt;TODAY(),"⚠ "&amp;(TODAY()-$H38)&amp;"일 지연",IF($H38=TODAY(),"🔔 오늘 마감","D-"&amp;($H38-TODAY()))))))</f>
        <v/>
      </c>
      <c r="K38" s="34" t="n"/>
      <c r="L38">
        <f>IF(AND($B38&lt;&gt;"",$F38="To Do"),COUNTIFS($B$2:$B38,"&lt;&gt;",$F$2:$F38,"To Do"),"")</f>
        <v/>
      </c>
      <c r="M38">
        <f>IF(AND($B38&lt;&gt;"",$F38="Doing"),COUNTIFS($B$2:$B38,"&lt;&gt;",$F$2:$F38,"Doing"),"")</f>
        <v/>
      </c>
      <c r="N38">
        <f>IF(AND($B38&lt;&gt;"",$F38="Done"),COUNTIFS($B$2:$B38,"&lt;&gt;",$F$2:$F38,"Done"),"")</f>
        <v/>
      </c>
      <c r="O38">
        <f>IF($B38="","",$B38&amp;"  |  "&amp;IF($D38="","담당자 미지정",$D38)&amp;IF($H38="",""," · ~"&amp;TEXT($H38,"m/d"))&amp;IF($E38="높음"," 🔺","")&amp;IF(AND($F38&lt;&gt;"Done",$H38&lt;&gt;"",$H38&lt;TODAY())," ⚠",""))</f>
        <v/>
      </c>
    </row>
    <row r="39">
      <c r="A39" s="33">
        <f>IF($B39="","",COUNTA($B$2:$B39))</f>
        <v/>
      </c>
      <c r="B39" s="34" t="n"/>
      <c r="C39" s="34" t="n"/>
      <c r="D39" s="33" t="n"/>
      <c r="E39" s="33" t="n"/>
      <c r="F39" s="33" t="n"/>
      <c r="G39" s="35" t="n"/>
      <c r="H39" s="35" t="n"/>
      <c r="I39" s="36" t="n"/>
      <c r="J39" s="33">
        <f>IF($B39="","",IF($F39="Done","✔ 완료",IF($H39="","—",IF($H39&lt;TODAY(),"⚠ "&amp;(TODAY()-$H39)&amp;"일 지연",IF($H39=TODAY(),"🔔 오늘 마감","D-"&amp;($H39-TODAY()))))))</f>
        <v/>
      </c>
      <c r="K39" s="34" t="n"/>
      <c r="L39">
        <f>IF(AND($B39&lt;&gt;"",$F39="To Do"),COUNTIFS($B$2:$B39,"&lt;&gt;",$F$2:$F39,"To Do"),"")</f>
        <v/>
      </c>
      <c r="M39">
        <f>IF(AND($B39&lt;&gt;"",$F39="Doing"),COUNTIFS($B$2:$B39,"&lt;&gt;",$F$2:$F39,"Doing"),"")</f>
        <v/>
      </c>
      <c r="N39">
        <f>IF(AND($B39&lt;&gt;"",$F39="Done"),COUNTIFS($B$2:$B39,"&lt;&gt;",$F$2:$F39,"Done"),"")</f>
        <v/>
      </c>
      <c r="O39">
        <f>IF($B39="","",$B39&amp;"  |  "&amp;IF($D39="","담당자 미지정",$D39)&amp;IF($H39="",""," · ~"&amp;TEXT($H39,"m/d"))&amp;IF($E39="높음"," 🔺","")&amp;IF(AND($F39&lt;&gt;"Done",$H39&lt;&gt;"",$H39&lt;TODAY())," ⚠",""))</f>
        <v/>
      </c>
    </row>
    <row r="40">
      <c r="A40" s="33">
        <f>IF($B40="","",COUNTA($B$2:$B40))</f>
        <v/>
      </c>
      <c r="B40" s="34" t="n"/>
      <c r="C40" s="34" t="n"/>
      <c r="D40" s="33" t="n"/>
      <c r="E40" s="33" t="n"/>
      <c r="F40" s="33" t="n"/>
      <c r="G40" s="35" t="n"/>
      <c r="H40" s="35" t="n"/>
      <c r="I40" s="36" t="n"/>
      <c r="J40" s="33">
        <f>IF($B40="","",IF($F40="Done","✔ 완료",IF($H40="","—",IF($H40&lt;TODAY(),"⚠ "&amp;(TODAY()-$H40)&amp;"일 지연",IF($H40=TODAY(),"🔔 오늘 마감","D-"&amp;($H40-TODAY()))))))</f>
        <v/>
      </c>
      <c r="K40" s="34" t="n"/>
      <c r="L40">
        <f>IF(AND($B40&lt;&gt;"",$F40="To Do"),COUNTIFS($B$2:$B40,"&lt;&gt;",$F$2:$F40,"To Do"),"")</f>
        <v/>
      </c>
      <c r="M40">
        <f>IF(AND($B40&lt;&gt;"",$F40="Doing"),COUNTIFS($B$2:$B40,"&lt;&gt;",$F$2:$F40,"Doing"),"")</f>
        <v/>
      </c>
      <c r="N40">
        <f>IF(AND($B40&lt;&gt;"",$F40="Done"),COUNTIFS($B$2:$B40,"&lt;&gt;",$F$2:$F40,"Done"),"")</f>
        <v/>
      </c>
      <c r="O40">
        <f>IF($B40="","",$B40&amp;"  |  "&amp;IF($D40="","담당자 미지정",$D40)&amp;IF($H40="",""," · ~"&amp;TEXT($H40,"m/d"))&amp;IF($E40="높음"," 🔺","")&amp;IF(AND($F40&lt;&gt;"Done",$H40&lt;&gt;"",$H40&lt;TODAY())," ⚠",""))</f>
        <v/>
      </c>
    </row>
    <row r="41">
      <c r="A41" s="33">
        <f>IF($B41="","",COUNTA($B$2:$B41))</f>
        <v/>
      </c>
      <c r="B41" s="34" t="n"/>
      <c r="C41" s="34" t="n"/>
      <c r="D41" s="33" t="n"/>
      <c r="E41" s="33" t="n"/>
      <c r="F41" s="33" t="n"/>
      <c r="G41" s="35" t="n"/>
      <c r="H41" s="35" t="n"/>
      <c r="I41" s="36" t="n"/>
      <c r="J41" s="33">
        <f>IF($B41="","",IF($F41="Done","✔ 완료",IF($H41="","—",IF($H41&lt;TODAY(),"⚠ "&amp;(TODAY()-$H41)&amp;"일 지연",IF($H41=TODAY(),"🔔 오늘 마감","D-"&amp;($H41-TODAY()))))))</f>
        <v/>
      </c>
      <c r="K41" s="34" t="n"/>
      <c r="L41">
        <f>IF(AND($B41&lt;&gt;"",$F41="To Do"),COUNTIFS($B$2:$B41,"&lt;&gt;",$F$2:$F41,"To Do"),"")</f>
        <v/>
      </c>
      <c r="M41">
        <f>IF(AND($B41&lt;&gt;"",$F41="Doing"),COUNTIFS($B$2:$B41,"&lt;&gt;",$F$2:$F41,"Doing"),"")</f>
        <v/>
      </c>
      <c r="N41">
        <f>IF(AND($B41&lt;&gt;"",$F41="Done"),COUNTIFS($B$2:$B41,"&lt;&gt;",$F$2:$F41,"Done"),"")</f>
        <v/>
      </c>
      <c r="O41">
        <f>IF($B41="","",$B41&amp;"  |  "&amp;IF($D41="","담당자 미지정",$D41)&amp;IF($H41="",""," · ~"&amp;TEXT($H41,"m/d"))&amp;IF($E41="높음"," 🔺","")&amp;IF(AND($F41&lt;&gt;"Done",$H41&lt;&gt;"",$H41&lt;TODAY())," ⚠",""))</f>
        <v/>
      </c>
    </row>
    <row r="42">
      <c r="A42" s="33">
        <f>IF($B42="","",COUNTA($B$2:$B42))</f>
        <v/>
      </c>
      <c r="B42" s="34" t="n"/>
      <c r="C42" s="34" t="n"/>
      <c r="D42" s="33" t="n"/>
      <c r="E42" s="33" t="n"/>
      <c r="F42" s="33" t="n"/>
      <c r="G42" s="35" t="n"/>
      <c r="H42" s="35" t="n"/>
      <c r="I42" s="36" t="n"/>
      <c r="J42" s="33">
        <f>IF($B42="","",IF($F42="Done","✔ 완료",IF($H42="","—",IF($H42&lt;TODAY(),"⚠ "&amp;(TODAY()-$H42)&amp;"일 지연",IF($H42=TODAY(),"🔔 오늘 마감","D-"&amp;($H42-TODAY()))))))</f>
        <v/>
      </c>
      <c r="K42" s="34" t="n"/>
      <c r="L42">
        <f>IF(AND($B42&lt;&gt;"",$F42="To Do"),COUNTIFS($B$2:$B42,"&lt;&gt;",$F$2:$F42,"To Do"),"")</f>
        <v/>
      </c>
      <c r="M42">
        <f>IF(AND($B42&lt;&gt;"",$F42="Doing"),COUNTIFS($B$2:$B42,"&lt;&gt;",$F$2:$F42,"Doing"),"")</f>
        <v/>
      </c>
      <c r="N42">
        <f>IF(AND($B42&lt;&gt;"",$F42="Done"),COUNTIFS($B$2:$B42,"&lt;&gt;",$F$2:$F42,"Done"),"")</f>
        <v/>
      </c>
      <c r="O42">
        <f>IF($B42="","",$B42&amp;"  |  "&amp;IF($D42="","담당자 미지정",$D42)&amp;IF($H42="",""," · ~"&amp;TEXT($H42,"m/d"))&amp;IF($E42="높음"," 🔺","")&amp;IF(AND($F42&lt;&gt;"Done",$H42&lt;&gt;"",$H42&lt;TODAY())," ⚠",""))</f>
        <v/>
      </c>
    </row>
    <row r="43">
      <c r="A43" s="33">
        <f>IF($B43="","",COUNTA($B$2:$B43))</f>
        <v/>
      </c>
      <c r="B43" s="34" t="n"/>
      <c r="C43" s="34" t="n"/>
      <c r="D43" s="33" t="n"/>
      <c r="E43" s="33" t="n"/>
      <c r="F43" s="33" t="n"/>
      <c r="G43" s="35" t="n"/>
      <c r="H43" s="35" t="n"/>
      <c r="I43" s="36" t="n"/>
      <c r="J43" s="33">
        <f>IF($B43="","",IF($F43="Done","✔ 완료",IF($H43="","—",IF($H43&lt;TODAY(),"⚠ "&amp;(TODAY()-$H43)&amp;"일 지연",IF($H43=TODAY(),"🔔 오늘 마감","D-"&amp;($H43-TODAY()))))))</f>
        <v/>
      </c>
      <c r="K43" s="34" t="n"/>
      <c r="L43">
        <f>IF(AND($B43&lt;&gt;"",$F43="To Do"),COUNTIFS($B$2:$B43,"&lt;&gt;",$F$2:$F43,"To Do"),"")</f>
        <v/>
      </c>
      <c r="M43">
        <f>IF(AND($B43&lt;&gt;"",$F43="Doing"),COUNTIFS($B$2:$B43,"&lt;&gt;",$F$2:$F43,"Doing"),"")</f>
        <v/>
      </c>
      <c r="N43">
        <f>IF(AND($B43&lt;&gt;"",$F43="Done"),COUNTIFS($B$2:$B43,"&lt;&gt;",$F$2:$F43,"Done"),"")</f>
        <v/>
      </c>
      <c r="O43">
        <f>IF($B43="","",$B43&amp;"  |  "&amp;IF($D43="","담당자 미지정",$D43)&amp;IF($H43="",""," · ~"&amp;TEXT($H43,"m/d"))&amp;IF($E43="높음"," 🔺","")&amp;IF(AND($F43&lt;&gt;"Done",$H43&lt;&gt;"",$H43&lt;TODAY())," ⚠",""))</f>
        <v/>
      </c>
    </row>
    <row r="44">
      <c r="A44" s="33">
        <f>IF($B44="","",COUNTA($B$2:$B44))</f>
        <v/>
      </c>
      <c r="B44" s="34" t="n"/>
      <c r="C44" s="34" t="n"/>
      <c r="D44" s="33" t="n"/>
      <c r="E44" s="33" t="n"/>
      <c r="F44" s="33" t="n"/>
      <c r="G44" s="35" t="n"/>
      <c r="H44" s="35" t="n"/>
      <c r="I44" s="36" t="n"/>
      <c r="J44" s="33">
        <f>IF($B44="","",IF($F44="Done","✔ 완료",IF($H44="","—",IF($H44&lt;TODAY(),"⚠ "&amp;(TODAY()-$H44)&amp;"일 지연",IF($H44=TODAY(),"🔔 오늘 마감","D-"&amp;($H44-TODAY()))))))</f>
        <v/>
      </c>
      <c r="K44" s="34" t="n"/>
      <c r="L44">
        <f>IF(AND($B44&lt;&gt;"",$F44="To Do"),COUNTIFS($B$2:$B44,"&lt;&gt;",$F$2:$F44,"To Do"),"")</f>
        <v/>
      </c>
      <c r="M44">
        <f>IF(AND($B44&lt;&gt;"",$F44="Doing"),COUNTIFS($B$2:$B44,"&lt;&gt;",$F$2:$F44,"Doing"),"")</f>
        <v/>
      </c>
      <c r="N44">
        <f>IF(AND($B44&lt;&gt;"",$F44="Done"),COUNTIFS($B$2:$B44,"&lt;&gt;",$F$2:$F44,"Done"),"")</f>
        <v/>
      </c>
      <c r="O44">
        <f>IF($B44="","",$B44&amp;"  |  "&amp;IF($D44="","담당자 미지정",$D44)&amp;IF($H44="",""," · ~"&amp;TEXT($H44,"m/d"))&amp;IF($E44="높음"," 🔺","")&amp;IF(AND($F44&lt;&gt;"Done",$H44&lt;&gt;"",$H44&lt;TODAY())," ⚠",""))</f>
        <v/>
      </c>
    </row>
    <row r="45">
      <c r="A45" s="33">
        <f>IF($B45="","",COUNTA($B$2:$B45))</f>
        <v/>
      </c>
      <c r="B45" s="34" t="n"/>
      <c r="C45" s="34" t="n"/>
      <c r="D45" s="33" t="n"/>
      <c r="E45" s="33" t="n"/>
      <c r="F45" s="33" t="n"/>
      <c r="G45" s="35" t="n"/>
      <c r="H45" s="35" t="n"/>
      <c r="I45" s="36" t="n"/>
      <c r="J45" s="33">
        <f>IF($B45="","",IF($F45="Done","✔ 완료",IF($H45="","—",IF($H45&lt;TODAY(),"⚠ "&amp;(TODAY()-$H45)&amp;"일 지연",IF($H45=TODAY(),"🔔 오늘 마감","D-"&amp;($H45-TODAY()))))))</f>
        <v/>
      </c>
      <c r="K45" s="34" t="n"/>
      <c r="L45">
        <f>IF(AND($B45&lt;&gt;"",$F45="To Do"),COUNTIFS($B$2:$B45,"&lt;&gt;",$F$2:$F45,"To Do"),"")</f>
        <v/>
      </c>
      <c r="M45">
        <f>IF(AND($B45&lt;&gt;"",$F45="Doing"),COUNTIFS($B$2:$B45,"&lt;&gt;",$F$2:$F45,"Doing"),"")</f>
        <v/>
      </c>
      <c r="N45">
        <f>IF(AND($B45&lt;&gt;"",$F45="Done"),COUNTIFS($B$2:$B45,"&lt;&gt;",$F$2:$F45,"Done"),"")</f>
        <v/>
      </c>
      <c r="O45">
        <f>IF($B45="","",$B45&amp;"  |  "&amp;IF($D45="","담당자 미지정",$D45)&amp;IF($H45="",""," · ~"&amp;TEXT($H45,"m/d"))&amp;IF($E45="높음"," 🔺","")&amp;IF(AND($F45&lt;&gt;"Done",$H45&lt;&gt;"",$H45&lt;TODAY())," ⚠",""))</f>
        <v/>
      </c>
    </row>
    <row r="46">
      <c r="A46" s="33">
        <f>IF($B46="","",COUNTA($B$2:$B46))</f>
        <v/>
      </c>
      <c r="B46" s="34" t="n"/>
      <c r="C46" s="34" t="n"/>
      <c r="D46" s="33" t="n"/>
      <c r="E46" s="33" t="n"/>
      <c r="F46" s="33" t="n"/>
      <c r="G46" s="35" t="n"/>
      <c r="H46" s="35" t="n"/>
      <c r="I46" s="36" t="n"/>
      <c r="J46" s="33">
        <f>IF($B46="","",IF($F46="Done","✔ 완료",IF($H46="","—",IF($H46&lt;TODAY(),"⚠ "&amp;(TODAY()-$H46)&amp;"일 지연",IF($H46=TODAY(),"🔔 오늘 마감","D-"&amp;($H46-TODAY()))))))</f>
        <v/>
      </c>
      <c r="K46" s="34" t="n"/>
      <c r="L46">
        <f>IF(AND($B46&lt;&gt;"",$F46="To Do"),COUNTIFS($B$2:$B46,"&lt;&gt;",$F$2:$F46,"To Do"),"")</f>
        <v/>
      </c>
      <c r="M46">
        <f>IF(AND($B46&lt;&gt;"",$F46="Doing"),COUNTIFS($B$2:$B46,"&lt;&gt;",$F$2:$F46,"Doing"),"")</f>
        <v/>
      </c>
      <c r="N46">
        <f>IF(AND($B46&lt;&gt;"",$F46="Done"),COUNTIFS($B$2:$B46,"&lt;&gt;",$F$2:$F46,"Done"),"")</f>
        <v/>
      </c>
      <c r="O46">
        <f>IF($B46="","",$B46&amp;"  |  "&amp;IF($D46="","담당자 미지정",$D46)&amp;IF($H46="",""," · ~"&amp;TEXT($H46,"m/d"))&amp;IF($E46="높음"," 🔺","")&amp;IF(AND($F46&lt;&gt;"Done",$H46&lt;&gt;"",$H46&lt;TODAY())," ⚠",""))</f>
        <v/>
      </c>
    </row>
    <row r="47">
      <c r="A47" s="33">
        <f>IF($B47="","",COUNTA($B$2:$B47))</f>
        <v/>
      </c>
      <c r="B47" s="34" t="n"/>
      <c r="C47" s="34" t="n"/>
      <c r="D47" s="33" t="n"/>
      <c r="E47" s="33" t="n"/>
      <c r="F47" s="33" t="n"/>
      <c r="G47" s="35" t="n"/>
      <c r="H47" s="35" t="n"/>
      <c r="I47" s="36" t="n"/>
      <c r="J47" s="33">
        <f>IF($B47="","",IF($F47="Done","✔ 완료",IF($H47="","—",IF($H47&lt;TODAY(),"⚠ "&amp;(TODAY()-$H47)&amp;"일 지연",IF($H47=TODAY(),"🔔 오늘 마감","D-"&amp;($H47-TODAY()))))))</f>
        <v/>
      </c>
      <c r="K47" s="34" t="n"/>
      <c r="L47">
        <f>IF(AND($B47&lt;&gt;"",$F47="To Do"),COUNTIFS($B$2:$B47,"&lt;&gt;",$F$2:$F47,"To Do"),"")</f>
        <v/>
      </c>
      <c r="M47">
        <f>IF(AND($B47&lt;&gt;"",$F47="Doing"),COUNTIFS($B$2:$B47,"&lt;&gt;",$F$2:$F47,"Doing"),"")</f>
        <v/>
      </c>
      <c r="N47">
        <f>IF(AND($B47&lt;&gt;"",$F47="Done"),COUNTIFS($B$2:$B47,"&lt;&gt;",$F$2:$F47,"Done"),"")</f>
        <v/>
      </c>
      <c r="O47">
        <f>IF($B47="","",$B47&amp;"  |  "&amp;IF($D47="","담당자 미지정",$D47)&amp;IF($H47="",""," · ~"&amp;TEXT($H47,"m/d"))&amp;IF($E47="높음"," 🔺","")&amp;IF(AND($F47&lt;&gt;"Done",$H47&lt;&gt;"",$H47&lt;TODAY())," ⚠",""))</f>
        <v/>
      </c>
    </row>
    <row r="48">
      <c r="A48" s="33">
        <f>IF($B48="","",COUNTA($B$2:$B48))</f>
        <v/>
      </c>
      <c r="B48" s="34" t="n"/>
      <c r="C48" s="34" t="n"/>
      <c r="D48" s="33" t="n"/>
      <c r="E48" s="33" t="n"/>
      <c r="F48" s="33" t="n"/>
      <c r="G48" s="35" t="n"/>
      <c r="H48" s="35" t="n"/>
      <c r="I48" s="36" t="n"/>
      <c r="J48" s="33">
        <f>IF($B48="","",IF($F48="Done","✔ 완료",IF($H48="","—",IF($H48&lt;TODAY(),"⚠ "&amp;(TODAY()-$H48)&amp;"일 지연",IF($H48=TODAY(),"🔔 오늘 마감","D-"&amp;($H48-TODAY()))))))</f>
        <v/>
      </c>
      <c r="K48" s="34" t="n"/>
      <c r="L48">
        <f>IF(AND($B48&lt;&gt;"",$F48="To Do"),COUNTIFS($B$2:$B48,"&lt;&gt;",$F$2:$F48,"To Do"),"")</f>
        <v/>
      </c>
      <c r="M48">
        <f>IF(AND($B48&lt;&gt;"",$F48="Doing"),COUNTIFS($B$2:$B48,"&lt;&gt;",$F$2:$F48,"Doing"),"")</f>
        <v/>
      </c>
      <c r="N48">
        <f>IF(AND($B48&lt;&gt;"",$F48="Done"),COUNTIFS($B$2:$B48,"&lt;&gt;",$F$2:$F48,"Done"),"")</f>
        <v/>
      </c>
      <c r="O48">
        <f>IF($B48="","",$B48&amp;"  |  "&amp;IF($D48="","담당자 미지정",$D48)&amp;IF($H48="",""," · ~"&amp;TEXT($H48,"m/d"))&amp;IF($E48="높음"," 🔺","")&amp;IF(AND($F48&lt;&gt;"Done",$H48&lt;&gt;"",$H48&lt;TODAY())," ⚠",""))</f>
        <v/>
      </c>
    </row>
    <row r="49">
      <c r="A49" s="33">
        <f>IF($B49="","",COUNTA($B$2:$B49))</f>
        <v/>
      </c>
      <c r="B49" s="34" t="n"/>
      <c r="C49" s="34" t="n"/>
      <c r="D49" s="33" t="n"/>
      <c r="E49" s="33" t="n"/>
      <c r="F49" s="33" t="n"/>
      <c r="G49" s="35" t="n"/>
      <c r="H49" s="35" t="n"/>
      <c r="I49" s="36" t="n"/>
      <c r="J49" s="33">
        <f>IF($B49="","",IF($F49="Done","✔ 완료",IF($H49="","—",IF($H49&lt;TODAY(),"⚠ "&amp;(TODAY()-$H49)&amp;"일 지연",IF($H49=TODAY(),"🔔 오늘 마감","D-"&amp;($H49-TODAY()))))))</f>
        <v/>
      </c>
      <c r="K49" s="34" t="n"/>
      <c r="L49">
        <f>IF(AND($B49&lt;&gt;"",$F49="To Do"),COUNTIFS($B$2:$B49,"&lt;&gt;",$F$2:$F49,"To Do"),"")</f>
        <v/>
      </c>
      <c r="M49">
        <f>IF(AND($B49&lt;&gt;"",$F49="Doing"),COUNTIFS($B$2:$B49,"&lt;&gt;",$F$2:$F49,"Doing"),"")</f>
        <v/>
      </c>
      <c r="N49">
        <f>IF(AND($B49&lt;&gt;"",$F49="Done"),COUNTIFS($B$2:$B49,"&lt;&gt;",$F$2:$F49,"Done"),"")</f>
        <v/>
      </c>
      <c r="O49">
        <f>IF($B49="","",$B49&amp;"  |  "&amp;IF($D49="","담당자 미지정",$D49)&amp;IF($H49="",""," · ~"&amp;TEXT($H49,"m/d"))&amp;IF($E49="높음"," 🔺","")&amp;IF(AND($F49&lt;&gt;"Done",$H49&lt;&gt;"",$H49&lt;TODAY())," ⚠",""))</f>
        <v/>
      </c>
    </row>
    <row r="50">
      <c r="A50" s="33">
        <f>IF($B50="","",COUNTA($B$2:$B50))</f>
        <v/>
      </c>
      <c r="B50" s="34" t="n"/>
      <c r="C50" s="34" t="n"/>
      <c r="D50" s="33" t="n"/>
      <c r="E50" s="33" t="n"/>
      <c r="F50" s="33" t="n"/>
      <c r="G50" s="35" t="n"/>
      <c r="H50" s="35" t="n"/>
      <c r="I50" s="36" t="n"/>
      <c r="J50" s="33">
        <f>IF($B50="","",IF($F50="Done","✔ 완료",IF($H50="","—",IF($H50&lt;TODAY(),"⚠ "&amp;(TODAY()-$H50)&amp;"일 지연",IF($H50=TODAY(),"🔔 오늘 마감","D-"&amp;($H50-TODAY()))))))</f>
        <v/>
      </c>
      <c r="K50" s="34" t="n"/>
      <c r="L50">
        <f>IF(AND($B50&lt;&gt;"",$F50="To Do"),COUNTIFS($B$2:$B50,"&lt;&gt;",$F$2:$F50,"To Do"),"")</f>
        <v/>
      </c>
      <c r="M50">
        <f>IF(AND($B50&lt;&gt;"",$F50="Doing"),COUNTIFS($B$2:$B50,"&lt;&gt;",$F$2:$F50,"Doing"),"")</f>
        <v/>
      </c>
      <c r="N50">
        <f>IF(AND($B50&lt;&gt;"",$F50="Done"),COUNTIFS($B$2:$B50,"&lt;&gt;",$F$2:$F50,"Done"),"")</f>
        <v/>
      </c>
      <c r="O50">
        <f>IF($B50="","",$B50&amp;"  |  "&amp;IF($D50="","담당자 미지정",$D50)&amp;IF($H50="",""," · ~"&amp;TEXT($H50,"m/d"))&amp;IF($E50="높음"," 🔺","")&amp;IF(AND($F50&lt;&gt;"Done",$H50&lt;&gt;"",$H50&lt;TODAY())," ⚠",""))</f>
        <v/>
      </c>
    </row>
    <row r="51">
      <c r="A51" s="33">
        <f>IF($B51="","",COUNTA($B$2:$B51))</f>
        <v/>
      </c>
      <c r="B51" s="34" t="n"/>
      <c r="C51" s="34" t="n"/>
      <c r="D51" s="33" t="n"/>
      <c r="E51" s="33" t="n"/>
      <c r="F51" s="33" t="n"/>
      <c r="G51" s="35" t="n"/>
      <c r="H51" s="35" t="n"/>
      <c r="I51" s="36" t="n"/>
      <c r="J51" s="33">
        <f>IF($B51="","",IF($F51="Done","✔ 완료",IF($H51="","—",IF($H51&lt;TODAY(),"⚠ "&amp;(TODAY()-$H51)&amp;"일 지연",IF($H51=TODAY(),"🔔 오늘 마감","D-"&amp;($H51-TODAY()))))))</f>
        <v/>
      </c>
      <c r="K51" s="34" t="n"/>
      <c r="L51">
        <f>IF(AND($B51&lt;&gt;"",$F51="To Do"),COUNTIFS($B$2:$B51,"&lt;&gt;",$F$2:$F51,"To Do"),"")</f>
        <v/>
      </c>
      <c r="M51">
        <f>IF(AND($B51&lt;&gt;"",$F51="Doing"),COUNTIFS($B$2:$B51,"&lt;&gt;",$F$2:$F51,"Doing"),"")</f>
        <v/>
      </c>
      <c r="N51">
        <f>IF(AND($B51&lt;&gt;"",$F51="Done"),COUNTIFS($B$2:$B51,"&lt;&gt;",$F$2:$F51,"Done"),"")</f>
        <v/>
      </c>
      <c r="O51">
        <f>IF($B51="","",$B51&amp;"  |  "&amp;IF($D51="","담당자 미지정",$D51)&amp;IF($H51="",""," · ~"&amp;TEXT($H51,"m/d"))&amp;IF($E51="높음"," 🔺","")&amp;IF(AND($F51&lt;&gt;"Done",$H51&lt;&gt;"",$H51&lt;TODAY())," ⚠",""))</f>
        <v/>
      </c>
    </row>
    <row r="52">
      <c r="A52" s="33">
        <f>IF($B52="","",COUNTA($B$2:$B52))</f>
        <v/>
      </c>
      <c r="B52" s="34" t="n"/>
      <c r="C52" s="34" t="n"/>
      <c r="D52" s="33" t="n"/>
      <c r="E52" s="33" t="n"/>
      <c r="F52" s="33" t="n"/>
      <c r="G52" s="35" t="n"/>
      <c r="H52" s="35" t="n"/>
      <c r="I52" s="36" t="n"/>
      <c r="J52" s="33">
        <f>IF($B52="","",IF($F52="Done","✔ 완료",IF($H52="","—",IF($H52&lt;TODAY(),"⚠ "&amp;(TODAY()-$H52)&amp;"일 지연",IF($H52=TODAY(),"🔔 오늘 마감","D-"&amp;($H52-TODAY()))))))</f>
        <v/>
      </c>
      <c r="K52" s="34" t="n"/>
      <c r="L52">
        <f>IF(AND($B52&lt;&gt;"",$F52="To Do"),COUNTIFS($B$2:$B52,"&lt;&gt;",$F$2:$F52,"To Do"),"")</f>
        <v/>
      </c>
      <c r="M52">
        <f>IF(AND($B52&lt;&gt;"",$F52="Doing"),COUNTIFS($B$2:$B52,"&lt;&gt;",$F$2:$F52,"Doing"),"")</f>
        <v/>
      </c>
      <c r="N52">
        <f>IF(AND($B52&lt;&gt;"",$F52="Done"),COUNTIFS($B$2:$B52,"&lt;&gt;",$F$2:$F52,"Done"),"")</f>
        <v/>
      </c>
      <c r="O52">
        <f>IF($B52="","",$B52&amp;"  |  "&amp;IF($D52="","담당자 미지정",$D52)&amp;IF($H52="",""," · ~"&amp;TEXT($H52,"m/d"))&amp;IF($E52="높음"," 🔺","")&amp;IF(AND($F52&lt;&gt;"Done",$H52&lt;&gt;"",$H52&lt;TODAY())," ⚠",""))</f>
        <v/>
      </c>
    </row>
    <row r="53">
      <c r="A53" s="33">
        <f>IF($B53="","",COUNTA($B$2:$B53))</f>
        <v/>
      </c>
      <c r="B53" s="34" t="n"/>
      <c r="C53" s="34" t="n"/>
      <c r="D53" s="33" t="n"/>
      <c r="E53" s="33" t="n"/>
      <c r="F53" s="33" t="n"/>
      <c r="G53" s="35" t="n"/>
      <c r="H53" s="35" t="n"/>
      <c r="I53" s="36" t="n"/>
      <c r="J53" s="33">
        <f>IF($B53="","",IF($F53="Done","✔ 완료",IF($H53="","—",IF($H53&lt;TODAY(),"⚠ "&amp;(TODAY()-$H53)&amp;"일 지연",IF($H53=TODAY(),"🔔 오늘 마감","D-"&amp;($H53-TODAY()))))))</f>
        <v/>
      </c>
      <c r="K53" s="34" t="n"/>
      <c r="L53">
        <f>IF(AND($B53&lt;&gt;"",$F53="To Do"),COUNTIFS($B$2:$B53,"&lt;&gt;",$F$2:$F53,"To Do"),"")</f>
        <v/>
      </c>
      <c r="M53">
        <f>IF(AND($B53&lt;&gt;"",$F53="Doing"),COUNTIFS($B$2:$B53,"&lt;&gt;",$F$2:$F53,"Doing"),"")</f>
        <v/>
      </c>
      <c r="N53">
        <f>IF(AND($B53&lt;&gt;"",$F53="Done"),COUNTIFS($B$2:$B53,"&lt;&gt;",$F$2:$F53,"Done"),"")</f>
        <v/>
      </c>
      <c r="O53">
        <f>IF($B53="","",$B53&amp;"  |  "&amp;IF($D53="","담당자 미지정",$D53)&amp;IF($H53="",""," · ~"&amp;TEXT($H53,"m/d"))&amp;IF($E53="높음"," 🔺","")&amp;IF(AND($F53&lt;&gt;"Done",$H53&lt;&gt;"",$H53&lt;TODAY())," ⚠",""))</f>
        <v/>
      </c>
    </row>
    <row r="54">
      <c r="A54" s="33">
        <f>IF($B54="","",COUNTA($B$2:$B54))</f>
        <v/>
      </c>
      <c r="B54" s="34" t="n"/>
      <c r="C54" s="34" t="n"/>
      <c r="D54" s="33" t="n"/>
      <c r="E54" s="33" t="n"/>
      <c r="F54" s="33" t="n"/>
      <c r="G54" s="35" t="n"/>
      <c r="H54" s="35" t="n"/>
      <c r="I54" s="36" t="n"/>
      <c r="J54" s="33">
        <f>IF($B54="","",IF($F54="Done","✔ 완료",IF($H54="","—",IF($H54&lt;TODAY(),"⚠ "&amp;(TODAY()-$H54)&amp;"일 지연",IF($H54=TODAY(),"🔔 오늘 마감","D-"&amp;($H54-TODAY()))))))</f>
        <v/>
      </c>
      <c r="K54" s="34" t="n"/>
      <c r="L54">
        <f>IF(AND($B54&lt;&gt;"",$F54="To Do"),COUNTIFS($B$2:$B54,"&lt;&gt;",$F$2:$F54,"To Do"),"")</f>
        <v/>
      </c>
      <c r="M54">
        <f>IF(AND($B54&lt;&gt;"",$F54="Doing"),COUNTIFS($B$2:$B54,"&lt;&gt;",$F$2:$F54,"Doing"),"")</f>
        <v/>
      </c>
      <c r="N54">
        <f>IF(AND($B54&lt;&gt;"",$F54="Done"),COUNTIFS($B$2:$B54,"&lt;&gt;",$F$2:$F54,"Done"),"")</f>
        <v/>
      </c>
      <c r="O54">
        <f>IF($B54="","",$B54&amp;"  |  "&amp;IF($D54="","담당자 미지정",$D54)&amp;IF($H54="",""," · ~"&amp;TEXT($H54,"m/d"))&amp;IF($E54="높음"," 🔺","")&amp;IF(AND($F54&lt;&gt;"Done",$H54&lt;&gt;"",$H54&lt;TODAY())," ⚠",""))</f>
        <v/>
      </c>
    </row>
    <row r="55">
      <c r="A55" s="33">
        <f>IF($B55="","",COUNTA($B$2:$B55))</f>
        <v/>
      </c>
      <c r="B55" s="34" t="n"/>
      <c r="C55" s="34" t="n"/>
      <c r="D55" s="33" t="n"/>
      <c r="E55" s="33" t="n"/>
      <c r="F55" s="33" t="n"/>
      <c r="G55" s="35" t="n"/>
      <c r="H55" s="35" t="n"/>
      <c r="I55" s="36" t="n"/>
      <c r="J55" s="33">
        <f>IF($B55="","",IF($F55="Done","✔ 완료",IF($H55="","—",IF($H55&lt;TODAY(),"⚠ "&amp;(TODAY()-$H55)&amp;"일 지연",IF($H55=TODAY(),"🔔 오늘 마감","D-"&amp;($H55-TODAY()))))))</f>
        <v/>
      </c>
      <c r="K55" s="34" t="n"/>
      <c r="L55">
        <f>IF(AND($B55&lt;&gt;"",$F55="To Do"),COUNTIFS($B$2:$B55,"&lt;&gt;",$F$2:$F55,"To Do"),"")</f>
        <v/>
      </c>
      <c r="M55">
        <f>IF(AND($B55&lt;&gt;"",$F55="Doing"),COUNTIFS($B$2:$B55,"&lt;&gt;",$F$2:$F55,"Doing"),"")</f>
        <v/>
      </c>
      <c r="N55">
        <f>IF(AND($B55&lt;&gt;"",$F55="Done"),COUNTIFS($B$2:$B55,"&lt;&gt;",$F$2:$F55,"Done"),"")</f>
        <v/>
      </c>
      <c r="O55">
        <f>IF($B55="","",$B55&amp;"  |  "&amp;IF($D55="","담당자 미지정",$D55)&amp;IF($H55="",""," · ~"&amp;TEXT($H55,"m/d"))&amp;IF($E55="높음"," 🔺","")&amp;IF(AND($F55&lt;&gt;"Done",$H55&lt;&gt;"",$H55&lt;TODAY())," ⚠",""))</f>
        <v/>
      </c>
    </row>
    <row r="56">
      <c r="A56" s="33">
        <f>IF($B56="","",COUNTA($B$2:$B56))</f>
        <v/>
      </c>
      <c r="B56" s="34" t="n"/>
      <c r="C56" s="34" t="n"/>
      <c r="D56" s="33" t="n"/>
      <c r="E56" s="33" t="n"/>
      <c r="F56" s="33" t="n"/>
      <c r="G56" s="35" t="n"/>
      <c r="H56" s="35" t="n"/>
      <c r="I56" s="36" t="n"/>
      <c r="J56" s="33">
        <f>IF($B56="","",IF($F56="Done","✔ 완료",IF($H56="","—",IF($H56&lt;TODAY(),"⚠ "&amp;(TODAY()-$H56)&amp;"일 지연",IF($H56=TODAY(),"🔔 오늘 마감","D-"&amp;($H56-TODAY()))))))</f>
        <v/>
      </c>
      <c r="K56" s="34" t="n"/>
      <c r="L56">
        <f>IF(AND($B56&lt;&gt;"",$F56="To Do"),COUNTIFS($B$2:$B56,"&lt;&gt;",$F$2:$F56,"To Do"),"")</f>
        <v/>
      </c>
      <c r="M56">
        <f>IF(AND($B56&lt;&gt;"",$F56="Doing"),COUNTIFS($B$2:$B56,"&lt;&gt;",$F$2:$F56,"Doing"),"")</f>
        <v/>
      </c>
      <c r="N56">
        <f>IF(AND($B56&lt;&gt;"",$F56="Done"),COUNTIFS($B$2:$B56,"&lt;&gt;",$F$2:$F56,"Done"),"")</f>
        <v/>
      </c>
      <c r="O56">
        <f>IF($B56="","",$B56&amp;"  |  "&amp;IF($D56="","담당자 미지정",$D56)&amp;IF($H56="",""," · ~"&amp;TEXT($H56,"m/d"))&amp;IF($E56="높음"," 🔺","")&amp;IF(AND($F56&lt;&gt;"Done",$H56&lt;&gt;"",$H56&lt;TODAY())," ⚠",""))</f>
        <v/>
      </c>
    </row>
    <row r="57">
      <c r="A57" s="33">
        <f>IF($B57="","",COUNTA($B$2:$B57))</f>
        <v/>
      </c>
      <c r="B57" s="34" t="n"/>
      <c r="C57" s="34" t="n"/>
      <c r="D57" s="33" t="n"/>
      <c r="E57" s="33" t="n"/>
      <c r="F57" s="33" t="n"/>
      <c r="G57" s="35" t="n"/>
      <c r="H57" s="35" t="n"/>
      <c r="I57" s="36" t="n"/>
      <c r="J57" s="33">
        <f>IF($B57="","",IF($F57="Done","✔ 완료",IF($H57="","—",IF($H57&lt;TODAY(),"⚠ "&amp;(TODAY()-$H57)&amp;"일 지연",IF($H57=TODAY(),"🔔 오늘 마감","D-"&amp;($H57-TODAY()))))))</f>
        <v/>
      </c>
      <c r="K57" s="34" t="n"/>
      <c r="L57">
        <f>IF(AND($B57&lt;&gt;"",$F57="To Do"),COUNTIFS($B$2:$B57,"&lt;&gt;",$F$2:$F57,"To Do"),"")</f>
        <v/>
      </c>
      <c r="M57">
        <f>IF(AND($B57&lt;&gt;"",$F57="Doing"),COUNTIFS($B$2:$B57,"&lt;&gt;",$F$2:$F57,"Doing"),"")</f>
        <v/>
      </c>
      <c r="N57">
        <f>IF(AND($B57&lt;&gt;"",$F57="Done"),COUNTIFS($B$2:$B57,"&lt;&gt;",$F$2:$F57,"Done"),"")</f>
        <v/>
      </c>
      <c r="O57">
        <f>IF($B57="","",$B57&amp;"  |  "&amp;IF($D57="","담당자 미지정",$D57)&amp;IF($H57="",""," · ~"&amp;TEXT($H57,"m/d"))&amp;IF($E57="높음"," 🔺","")&amp;IF(AND($F57&lt;&gt;"Done",$H57&lt;&gt;"",$H57&lt;TODAY())," ⚠",""))</f>
        <v/>
      </c>
    </row>
    <row r="58">
      <c r="A58" s="33">
        <f>IF($B58="","",COUNTA($B$2:$B58))</f>
        <v/>
      </c>
      <c r="B58" s="34" t="n"/>
      <c r="C58" s="34" t="n"/>
      <c r="D58" s="33" t="n"/>
      <c r="E58" s="33" t="n"/>
      <c r="F58" s="33" t="n"/>
      <c r="G58" s="35" t="n"/>
      <c r="H58" s="35" t="n"/>
      <c r="I58" s="36" t="n"/>
      <c r="J58" s="33">
        <f>IF($B58="","",IF($F58="Done","✔ 완료",IF($H58="","—",IF($H58&lt;TODAY(),"⚠ "&amp;(TODAY()-$H58)&amp;"일 지연",IF($H58=TODAY(),"🔔 오늘 마감","D-"&amp;($H58-TODAY()))))))</f>
        <v/>
      </c>
      <c r="K58" s="34" t="n"/>
      <c r="L58">
        <f>IF(AND($B58&lt;&gt;"",$F58="To Do"),COUNTIFS($B$2:$B58,"&lt;&gt;",$F$2:$F58,"To Do"),"")</f>
        <v/>
      </c>
      <c r="M58">
        <f>IF(AND($B58&lt;&gt;"",$F58="Doing"),COUNTIFS($B$2:$B58,"&lt;&gt;",$F$2:$F58,"Doing"),"")</f>
        <v/>
      </c>
      <c r="N58">
        <f>IF(AND($B58&lt;&gt;"",$F58="Done"),COUNTIFS($B$2:$B58,"&lt;&gt;",$F$2:$F58,"Done"),"")</f>
        <v/>
      </c>
      <c r="O58">
        <f>IF($B58="","",$B58&amp;"  |  "&amp;IF($D58="","담당자 미지정",$D58)&amp;IF($H58="",""," · ~"&amp;TEXT($H58,"m/d"))&amp;IF($E58="높음"," 🔺","")&amp;IF(AND($F58&lt;&gt;"Done",$H58&lt;&gt;"",$H58&lt;TODAY())," ⚠",""))</f>
        <v/>
      </c>
    </row>
    <row r="59">
      <c r="A59" s="33">
        <f>IF($B59="","",COUNTA($B$2:$B59))</f>
        <v/>
      </c>
      <c r="B59" s="34" t="n"/>
      <c r="C59" s="34" t="n"/>
      <c r="D59" s="33" t="n"/>
      <c r="E59" s="33" t="n"/>
      <c r="F59" s="33" t="n"/>
      <c r="G59" s="35" t="n"/>
      <c r="H59" s="35" t="n"/>
      <c r="I59" s="36" t="n"/>
      <c r="J59" s="33">
        <f>IF($B59="","",IF($F59="Done","✔ 완료",IF($H59="","—",IF($H59&lt;TODAY(),"⚠ "&amp;(TODAY()-$H59)&amp;"일 지연",IF($H59=TODAY(),"🔔 오늘 마감","D-"&amp;($H59-TODAY()))))))</f>
        <v/>
      </c>
      <c r="K59" s="34" t="n"/>
      <c r="L59">
        <f>IF(AND($B59&lt;&gt;"",$F59="To Do"),COUNTIFS($B$2:$B59,"&lt;&gt;",$F$2:$F59,"To Do"),"")</f>
        <v/>
      </c>
      <c r="M59">
        <f>IF(AND($B59&lt;&gt;"",$F59="Doing"),COUNTIFS($B$2:$B59,"&lt;&gt;",$F$2:$F59,"Doing"),"")</f>
        <v/>
      </c>
      <c r="N59">
        <f>IF(AND($B59&lt;&gt;"",$F59="Done"),COUNTIFS($B$2:$B59,"&lt;&gt;",$F$2:$F59,"Done"),"")</f>
        <v/>
      </c>
      <c r="O59">
        <f>IF($B59="","",$B59&amp;"  |  "&amp;IF($D59="","담당자 미지정",$D59)&amp;IF($H59="",""," · ~"&amp;TEXT($H59,"m/d"))&amp;IF($E59="높음"," 🔺","")&amp;IF(AND($F59&lt;&gt;"Done",$H59&lt;&gt;"",$H59&lt;TODAY())," ⚠",""))</f>
        <v/>
      </c>
    </row>
    <row r="60">
      <c r="A60" s="33">
        <f>IF($B60="","",COUNTA($B$2:$B60))</f>
        <v/>
      </c>
      <c r="B60" s="34" t="n"/>
      <c r="C60" s="34" t="n"/>
      <c r="D60" s="33" t="n"/>
      <c r="E60" s="33" t="n"/>
      <c r="F60" s="33" t="n"/>
      <c r="G60" s="35" t="n"/>
      <c r="H60" s="35" t="n"/>
      <c r="I60" s="36" t="n"/>
      <c r="J60" s="33">
        <f>IF($B60="","",IF($F60="Done","✔ 완료",IF($H60="","—",IF($H60&lt;TODAY(),"⚠ "&amp;(TODAY()-$H60)&amp;"일 지연",IF($H60=TODAY(),"🔔 오늘 마감","D-"&amp;($H60-TODAY()))))))</f>
        <v/>
      </c>
      <c r="K60" s="34" t="n"/>
      <c r="L60">
        <f>IF(AND($B60&lt;&gt;"",$F60="To Do"),COUNTIFS($B$2:$B60,"&lt;&gt;",$F$2:$F60,"To Do"),"")</f>
        <v/>
      </c>
      <c r="M60">
        <f>IF(AND($B60&lt;&gt;"",$F60="Doing"),COUNTIFS($B$2:$B60,"&lt;&gt;",$F$2:$F60,"Doing"),"")</f>
        <v/>
      </c>
      <c r="N60">
        <f>IF(AND($B60&lt;&gt;"",$F60="Done"),COUNTIFS($B$2:$B60,"&lt;&gt;",$F$2:$F60,"Done"),"")</f>
        <v/>
      </c>
      <c r="O60">
        <f>IF($B60="","",$B60&amp;"  |  "&amp;IF($D60="","담당자 미지정",$D60)&amp;IF($H60="",""," · ~"&amp;TEXT($H60,"m/d"))&amp;IF($E60="높음"," 🔺","")&amp;IF(AND($F60&lt;&gt;"Done",$H60&lt;&gt;"",$H60&lt;TODAY())," ⚠",""))</f>
        <v/>
      </c>
    </row>
    <row r="61">
      <c r="A61" s="33">
        <f>IF($B61="","",COUNTA($B$2:$B61))</f>
        <v/>
      </c>
      <c r="B61" s="34" t="n"/>
      <c r="C61" s="34" t="n"/>
      <c r="D61" s="33" t="n"/>
      <c r="E61" s="33" t="n"/>
      <c r="F61" s="33" t="n"/>
      <c r="G61" s="35" t="n"/>
      <c r="H61" s="35" t="n"/>
      <c r="I61" s="36" t="n"/>
      <c r="J61" s="33">
        <f>IF($B61="","",IF($F61="Done","✔ 완료",IF($H61="","—",IF($H61&lt;TODAY(),"⚠ "&amp;(TODAY()-$H61)&amp;"일 지연",IF($H61=TODAY(),"🔔 오늘 마감","D-"&amp;($H61-TODAY()))))))</f>
        <v/>
      </c>
      <c r="K61" s="34" t="n"/>
      <c r="L61">
        <f>IF(AND($B61&lt;&gt;"",$F61="To Do"),COUNTIFS($B$2:$B61,"&lt;&gt;",$F$2:$F61,"To Do"),"")</f>
        <v/>
      </c>
      <c r="M61">
        <f>IF(AND($B61&lt;&gt;"",$F61="Doing"),COUNTIFS($B$2:$B61,"&lt;&gt;",$F$2:$F61,"Doing"),"")</f>
        <v/>
      </c>
      <c r="N61">
        <f>IF(AND($B61&lt;&gt;"",$F61="Done"),COUNTIFS($B$2:$B61,"&lt;&gt;",$F$2:$F61,"Done"),"")</f>
        <v/>
      </c>
      <c r="O61">
        <f>IF($B61="","",$B61&amp;"  |  "&amp;IF($D61="","담당자 미지정",$D61)&amp;IF($H61="",""," · ~"&amp;TEXT($H61,"m/d"))&amp;IF($E61="높음"," 🔺","")&amp;IF(AND($F61&lt;&gt;"Done",$H61&lt;&gt;"",$H61&lt;TODAY())," ⚠",""))</f>
        <v/>
      </c>
    </row>
    <row r="62">
      <c r="A62" s="33">
        <f>IF($B62="","",COUNTA($B$2:$B62))</f>
        <v/>
      </c>
      <c r="B62" s="34" t="n"/>
      <c r="C62" s="34" t="n"/>
      <c r="D62" s="33" t="n"/>
      <c r="E62" s="33" t="n"/>
      <c r="F62" s="33" t="n"/>
      <c r="G62" s="35" t="n"/>
      <c r="H62" s="35" t="n"/>
      <c r="I62" s="36" t="n"/>
      <c r="J62" s="33">
        <f>IF($B62="","",IF($F62="Done","✔ 완료",IF($H62="","—",IF($H62&lt;TODAY(),"⚠ "&amp;(TODAY()-$H62)&amp;"일 지연",IF($H62=TODAY(),"🔔 오늘 마감","D-"&amp;($H62-TODAY()))))))</f>
        <v/>
      </c>
      <c r="K62" s="34" t="n"/>
      <c r="L62">
        <f>IF(AND($B62&lt;&gt;"",$F62="To Do"),COUNTIFS($B$2:$B62,"&lt;&gt;",$F$2:$F62,"To Do"),"")</f>
        <v/>
      </c>
      <c r="M62">
        <f>IF(AND($B62&lt;&gt;"",$F62="Doing"),COUNTIFS($B$2:$B62,"&lt;&gt;",$F$2:$F62,"Doing"),"")</f>
        <v/>
      </c>
      <c r="N62">
        <f>IF(AND($B62&lt;&gt;"",$F62="Done"),COUNTIFS($B$2:$B62,"&lt;&gt;",$F$2:$F62,"Done"),"")</f>
        <v/>
      </c>
      <c r="O62">
        <f>IF($B62="","",$B62&amp;"  |  "&amp;IF($D62="","담당자 미지정",$D62)&amp;IF($H62="",""," · ~"&amp;TEXT($H62,"m/d"))&amp;IF($E62="높음"," 🔺","")&amp;IF(AND($F62&lt;&gt;"Done",$H62&lt;&gt;"",$H62&lt;TODAY())," ⚠",""))</f>
        <v/>
      </c>
    </row>
    <row r="63">
      <c r="A63" s="33">
        <f>IF($B63="","",COUNTA($B$2:$B63))</f>
        <v/>
      </c>
      <c r="B63" s="34" t="n"/>
      <c r="C63" s="34" t="n"/>
      <c r="D63" s="33" t="n"/>
      <c r="E63" s="33" t="n"/>
      <c r="F63" s="33" t="n"/>
      <c r="G63" s="35" t="n"/>
      <c r="H63" s="35" t="n"/>
      <c r="I63" s="36" t="n"/>
      <c r="J63" s="33">
        <f>IF($B63="","",IF($F63="Done","✔ 완료",IF($H63="","—",IF($H63&lt;TODAY(),"⚠ "&amp;(TODAY()-$H63)&amp;"일 지연",IF($H63=TODAY(),"🔔 오늘 마감","D-"&amp;($H63-TODAY()))))))</f>
        <v/>
      </c>
      <c r="K63" s="34" t="n"/>
      <c r="L63">
        <f>IF(AND($B63&lt;&gt;"",$F63="To Do"),COUNTIFS($B$2:$B63,"&lt;&gt;",$F$2:$F63,"To Do"),"")</f>
        <v/>
      </c>
      <c r="M63">
        <f>IF(AND($B63&lt;&gt;"",$F63="Doing"),COUNTIFS($B$2:$B63,"&lt;&gt;",$F$2:$F63,"Doing"),"")</f>
        <v/>
      </c>
      <c r="N63">
        <f>IF(AND($B63&lt;&gt;"",$F63="Done"),COUNTIFS($B$2:$B63,"&lt;&gt;",$F$2:$F63,"Done"),"")</f>
        <v/>
      </c>
      <c r="O63">
        <f>IF($B63="","",$B63&amp;"  |  "&amp;IF($D63="","담당자 미지정",$D63)&amp;IF($H63="",""," · ~"&amp;TEXT($H63,"m/d"))&amp;IF($E63="높음"," 🔺","")&amp;IF(AND($F63&lt;&gt;"Done",$H63&lt;&gt;"",$H63&lt;TODAY())," ⚠",""))</f>
        <v/>
      </c>
    </row>
    <row r="64">
      <c r="A64" s="33">
        <f>IF($B64="","",COUNTA($B$2:$B64))</f>
        <v/>
      </c>
      <c r="B64" s="34" t="n"/>
      <c r="C64" s="34" t="n"/>
      <c r="D64" s="33" t="n"/>
      <c r="E64" s="33" t="n"/>
      <c r="F64" s="33" t="n"/>
      <c r="G64" s="35" t="n"/>
      <c r="H64" s="35" t="n"/>
      <c r="I64" s="36" t="n"/>
      <c r="J64" s="33">
        <f>IF($B64="","",IF($F64="Done","✔ 완료",IF($H64="","—",IF($H64&lt;TODAY(),"⚠ "&amp;(TODAY()-$H64)&amp;"일 지연",IF($H64=TODAY(),"🔔 오늘 마감","D-"&amp;($H64-TODAY()))))))</f>
        <v/>
      </c>
      <c r="K64" s="34" t="n"/>
      <c r="L64">
        <f>IF(AND($B64&lt;&gt;"",$F64="To Do"),COUNTIFS($B$2:$B64,"&lt;&gt;",$F$2:$F64,"To Do"),"")</f>
        <v/>
      </c>
      <c r="M64">
        <f>IF(AND($B64&lt;&gt;"",$F64="Doing"),COUNTIFS($B$2:$B64,"&lt;&gt;",$F$2:$F64,"Doing"),"")</f>
        <v/>
      </c>
      <c r="N64">
        <f>IF(AND($B64&lt;&gt;"",$F64="Done"),COUNTIFS($B$2:$B64,"&lt;&gt;",$F$2:$F64,"Done"),"")</f>
        <v/>
      </c>
      <c r="O64">
        <f>IF($B64="","",$B64&amp;"  |  "&amp;IF($D64="","담당자 미지정",$D64)&amp;IF($H64="",""," · ~"&amp;TEXT($H64,"m/d"))&amp;IF($E64="높음"," 🔺","")&amp;IF(AND($F64&lt;&gt;"Done",$H64&lt;&gt;"",$H64&lt;TODAY())," ⚠",""))</f>
        <v/>
      </c>
    </row>
    <row r="65">
      <c r="A65" s="33">
        <f>IF($B65="","",COUNTA($B$2:$B65))</f>
        <v/>
      </c>
      <c r="B65" s="34" t="n"/>
      <c r="C65" s="34" t="n"/>
      <c r="D65" s="33" t="n"/>
      <c r="E65" s="33" t="n"/>
      <c r="F65" s="33" t="n"/>
      <c r="G65" s="35" t="n"/>
      <c r="H65" s="35" t="n"/>
      <c r="I65" s="36" t="n"/>
      <c r="J65" s="33">
        <f>IF($B65="","",IF($F65="Done","✔ 완료",IF($H65="","—",IF($H65&lt;TODAY(),"⚠ "&amp;(TODAY()-$H65)&amp;"일 지연",IF($H65=TODAY(),"🔔 오늘 마감","D-"&amp;($H65-TODAY()))))))</f>
        <v/>
      </c>
      <c r="K65" s="34" t="n"/>
      <c r="L65">
        <f>IF(AND($B65&lt;&gt;"",$F65="To Do"),COUNTIFS($B$2:$B65,"&lt;&gt;",$F$2:$F65,"To Do"),"")</f>
        <v/>
      </c>
      <c r="M65">
        <f>IF(AND($B65&lt;&gt;"",$F65="Doing"),COUNTIFS($B$2:$B65,"&lt;&gt;",$F$2:$F65,"Doing"),"")</f>
        <v/>
      </c>
      <c r="N65">
        <f>IF(AND($B65&lt;&gt;"",$F65="Done"),COUNTIFS($B$2:$B65,"&lt;&gt;",$F$2:$F65,"Done"),"")</f>
        <v/>
      </c>
      <c r="O65">
        <f>IF($B65="","",$B65&amp;"  |  "&amp;IF($D65="","담당자 미지정",$D65)&amp;IF($H65="",""," · ~"&amp;TEXT($H65,"m/d"))&amp;IF($E65="높음"," 🔺","")&amp;IF(AND($F65&lt;&gt;"Done",$H65&lt;&gt;"",$H65&lt;TODAY())," ⚠",""))</f>
        <v/>
      </c>
    </row>
    <row r="66">
      <c r="A66" s="33">
        <f>IF($B66="","",COUNTA($B$2:$B66))</f>
        <v/>
      </c>
      <c r="B66" s="34" t="n"/>
      <c r="C66" s="34" t="n"/>
      <c r="D66" s="33" t="n"/>
      <c r="E66" s="33" t="n"/>
      <c r="F66" s="33" t="n"/>
      <c r="G66" s="35" t="n"/>
      <c r="H66" s="35" t="n"/>
      <c r="I66" s="36" t="n"/>
      <c r="J66" s="33">
        <f>IF($B66="","",IF($F66="Done","✔ 완료",IF($H66="","—",IF($H66&lt;TODAY(),"⚠ "&amp;(TODAY()-$H66)&amp;"일 지연",IF($H66=TODAY(),"🔔 오늘 마감","D-"&amp;($H66-TODAY()))))))</f>
        <v/>
      </c>
      <c r="K66" s="34" t="n"/>
      <c r="L66">
        <f>IF(AND($B66&lt;&gt;"",$F66="To Do"),COUNTIFS($B$2:$B66,"&lt;&gt;",$F$2:$F66,"To Do"),"")</f>
        <v/>
      </c>
      <c r="M66">
        <f>IF(AND($B66&lt;&gt;"",$F66="Doing"),COUNTIFS($B$2:$B66,"&lt;&gt;",$F$2:$F66,"Doing"),"")</f>
        <v/>
      </c>
      <c r="N66">
        <f>IF(AND($B66&lt;&gt;"",$F66="Done"),COUNTIFS($B$2:$B66,"&lt;&gt;",$F$2:$F66,"Done"),"")</f>
        <v/>
      </c>
      <c r="O66">
        <f>IF($B66="","",$B66&amp;"  |  "&amp;IF($D66="","담당자 미지정",$D66)&amp;IF($H66="",""," · ~"&amp;TEXT($H66,"m/d"))&amp;IF($E66="높음"," 🔺","")&amp;IF(AND($F66&lt;&gt;"Done",$H66&lt;&gt;"",$H66&lt;TODAY())," ⚠",""))</f>
        <v/>
      </c>
    </row>
    <row r="67">
      <c r="A67" s="33">
        <f>IF($B67="","",COUNTA($B$2:$B67))</f>
        <v/>
      </c>
      <c r="B67" s="34" t="n"/>
      <c r="C67" s="34" t="n"/>
      <c r="D67" s="33" t="n"/>
      <c r="E67" s="33" t="n"/>
      <c r="F67" s="33" t="n"/>
      <c r="G67" s="35" t="n"/>
      <c r="H67" s="35" t="n"/>
      <c r="I67" s="36" t="n"/>
      <c r="J67" s="33">
        <f>IF($B67="","",IF($F67="Done","✔ 완료",IF($H67="","—",IF($H67&lt;TODAY(),"⚠ "&amp;(TODAY()-$H67)&amp;"일 지연",IF($H67=TODAY(),"🔔 오늘 마감","D-"&amp;($H67-TODAY()))))))</f>
        <v/>
      </c>
      <c r="K67" s="34" t="n"/>
      <c r="L67">
        <f>IF(AND($B67&lt;&gt;"",$F67="To Do"),COUNTIFS($B$2:$B67,"&lt;&gt;",$F$2:$F67,"To Do"),"")</f>
        <v/>
      </c>
      <c r="M67">
        <f>IF(AND($B67&lt;&gt;"",$F67="Doing"),COUNTIFS($B$2:$B67,"&lt;&gt;",$F$2:$F67,"Doing"),"")</f>
        <v/>
      </c>
      <c r="N67">
        <f>IF(AND($B67&lt;&gt;"",$F67="Done"),COUNTIFS($B$2:$B67,"&lt;&gt;",$F$2:$F67,"Done"),"")</f>
        <v/>
      </c>
      <c r="O67">
        <f>IF($B67="","",$B67&amp;"  |  "&amp;IF($D67="","담당자 미지정",$D67)&amp;IF($H67="",""," · ~"&amp;TEXT($H67,"m/d"))&amp;IF($E67="높음"," 🔺","")&amp;IF(AND($F67&lt;&gt;"Done",$H67&lt;&gt;"",$H67&lt;TODAY())," ⚠",""))</f>
        <v/>
      </c>
    </row>
    <row r="68">
      <c r="A68" s="33">
        <f>IF($B68="","",COUNTA($B$2:$B68))</f>
        <v/>
      </c>
      <c r="B68" s="34" t="n"/>
      <c r="C68" s="34" t="n"/>
      <c r="D68" s="33" t="n"/>
      <c r="E68" s="33" t="n"/>
      <c r="F68" s="33" t="n"/>
      <c r="G68" s="35" t="n"/>
      <c r="H68" s="35" t="n"/>
      <c r="I68" s="36" t="n"/>
      <c r="J68" s="33">
        <f>IF($B68="","",IF($F68="Done","✔ 완료",IF($H68="","—",IF($H68&lt;TODAY(),"⚠ "&amp;(TODAY()-$H68)&amp;"일 지연",IF($H68=TODAY(),"🔔 오늘 마감","D-"&amp;($H68-TODAY()))))))</f>
        <v/>
      </c>
      <c r="K68" s="34" t="n"/>
      <c r="L68">
        <f>IF(AND($B68&lt;&gt;"",$F68="To Do"),COUNTIFS($B$2:$B68,"&lt;&gt;",$F$2:$F68,"To Do"),"")</f>
        <v/>
      </c>
      <c r="M68">
        <f>IF(AND($B68&lt;&gt;"",$F68="Doing"),COUNTIFS($B$2:$B68,"&lt;&gt;",$F$2:$F68,"Doing"),"")</f>
        <v/>
      </c>
      <c r="N68">
        <f>IF(AND($B68&lt;&gt;"",$F68="Done"),COUNTIFS($B$2:$B68,"&lt;&gt;",$F$2:$F68,"Done"),"")</f>
        <v/>
      </c>
      <c r="O68">
        <f>IF($B68="","",$B68&amp;"  |  "&amp;IF($D68="","담당자 미지정",$D68)&amp;IF($H68="",""," · ~"&amp;TEXT($H68,"m/d"))&amp;IF($E68="높음"," 🔺","")&amp;IF(AND($F68&lt;&gt;"Done",$H68&lt;&gt;"",$H68&lt;TODAY())," ⚠",""))</f>
        <v/>
      </c>
    </row>
    <row r="69">
      <c r="A69" s="33">
        <f>IF($B69="","",COUNTA($B$2:$B69))</f>
        <v/>
      </c>
      <c r="B69" s="34" t="n"/>
      <c r="C69" s="34" t="n"/>
      <c r="D69" s="33" t="n"/>
      <c r="E69" s="33" t="n"/>
      <c r="F69" s="33" t="n"/>
      <c r="G69" s="35" t="n"/>
      <c r="H69" s="35" t="n"/>
      <c r="I69" s="36" t="n"/>
      <c r="J69" s="33">
        <f>IF($B69="","",IF($F69="Done","✔ 완료",IF($H69="","—",IF($H69&lt;TODAY(),"⚠ "&amp;(TODAY()-$H69)&amp;"일 지연",IF($H69=TODAY(),"🔔 오늘 마감","D-"&amp;($H69-TODAY()))))))</f>
        <v/>
      </c>
      <c r="K69" s="34" t="n"/>
      <c r="L69">
        <f>IF(AND($B69&lt;&gt;"",$F69="To Do"),COUNTIFS($B$2:$B69,"&lt;&gt;",$F$2:$F69,"To Do"),"")</f>
        <v/>
      </c>
      <c r="M69">
        <f>IF(AND($B69&lt;&gt;"",$F69="Doing"),COUNTIFS($B$2:$B69,"&lt;&gt;",$F$2:$F69,"Doing"),"")</f>
        <v/>
      </c>
      <c r="N69">
        <f>IF(AND($B69&lt;&gt;"",$F69="Done"),COUNTIFS($B$2:$B69,"&lt;&gt;",$F$2:$F69,"Done"),"")</f>
        <v/>
      </c>
      <c r="O69">
        <f>IF($B69="","",$B69&amp;"  |  "&amp;IF($D69="","담당자 미지정",$D69)&amp;IF($H69="",""," · ~"&amp;TEXT($H69,"m/d"))&amp;IF($E69="높음"," 🔺","")&amp;IF(AND($F69&lt;&gt;"Done",$H69&lt;&gt;"",$H69&lt;TODAY())," ⚠",""))</f>
        <v/>
      </c>
    </row>
    <row r="70">
      <c r="A70" s="33">
        <f>IF($B70="","",COUNTA($B$2:$B70))</f>
        <v/>
      </c>
      <c r="B70" s="34" t="n"/>
      <c r="C70" s="34" t="n"/>
      <c r="D70" s="33" t="n"/>
      <c r="E70" s="33" t="n"/>
      <c r="F70" s="33" t="n"/>
      <c r="G70" s="35" t="n"/>
      <c r="H70" s="35" t="n"/>
      <c r="I70" s="36" t="n"/>
      <c r="J70" s="33">
        <f>IF($B70="","",IF($F70="Done","✔ 완료",IF($H70="","—",IF($H70&lt;TODAY(),"⚠ "&amp;(TODAY()-$H70)&amp;"일 지연",IF($H70=TODAY(),"🔔 오늘 마감","D-"&amp;($H70-TODAY()))))))</f>
        <v/>
      </c>
      <c r="K70" s="34" t="n"/>
      <c r="L70">
        <f>IF(AND($B70&lt;&gt;"",$F70="To Do"),COUNTIFS($B$2:$B70,"&lt;&gt;",$F$2:$F70,"To Do"),"")</f>
        <v/>
      </c>
      <c r="M70">
        <f>IF(AND($B70&lt;&gt;"",$F70="Doing"),COUNTIFS($B$2:$B70,"&lt;&gt;",$F$2:$F70,"Doing"),"")</f>
        <v/>
      </c>
      <c r="N70">
        <f>IF(AND($B70&lt;&gt;"",$F70="Done"),COUNTIFS($B$2:$B70,"&lt;&gt;",$F$2:$F70,"Done"),"")</f>
        <v/>
      </c>
      <c r="O70">
        <f>IF($B70="","",$B70&amp;"  |  "&amp;IF($D70="","담당자 미지정",$D70)&amp;IF($H70="",""," · ~"&amp;TEXT($H70,"m/d"))&amp;IF($E70="높음"," 🔺","")&amp;IF(AND($F70&lt;&gt;"Done",$H70&lt;&gt;"",$H70&lt;TODAY())," ⚠",""))</f>
        <v/>
      </c>
    </row>
    <row r="71">
      <c r="A71" s="33">
        <f>IF($B71="","",COUNTA($B$2:$B71))</f>
        <v/>
      </c>
      <c r="B71" s="34" t="n"/>
      <c r="C71" s="34" t="n"/>
      <c r="D71" s="33" t="n"/>
      <c r="E71" s="33" t="n"/>
      <c r="F71" s="33" t="n"/>
      <c r="G71" s="35" t="n"/>
      <c r="H71" s="35" t="n"/>
      <c r="I71" s="36" t="n"/>
      <c r="J71" s="33">
        <f>IF($B71="","",IF($F71="Done","✔ 완료",IF($H71="","—",IF($H71&lt;TODAY(),"⚠ "&amp;(TODAY()-$H71)&amp;"일 지연",IF($H71=TODAY(),"🔔 오늘 마감","D-"&amp;($H71-TODAY()))))))</f>
        <v/>
      </c>
      <c r="K71" s="34" t="n"/>
      <c r="L71">
        <f>IF(AND($B71&lt;&gt;"",$F71="To Do"),COUNTIFS($B$2:$B71,"&lt;&gt;",$F$2:$F71,"To Do"),"")</f>
        <v/>
      </c>
      <c r="M71">
        <f>IF(AND($B71&lt;&gt;"",$F71="Doing"),COUNTIFS($B$2:$B71,"&lt;&gt;",$F$2:$F71,"Doing"),"")</f>
        <v/>
      </c>
      <c r="N71">
        <f>IF(AND($B71&lt;&gt;"",$F71="Done"),COUNTIFS($B$2:$B71,"&lt;&gt;",$F$2:$F71,"Done"),"")</f>
        <v/>
      </c>
      <c r="O71">
        <f>IF($B71="","",$B71&amp;"  |  "&amp;IF($D71="","담당자 미지정",$D71)&amp;IF($H71="",""," · ~"&amp;TEXT($H71,"m/d"))&amp;IF($E71="높음"," 🔺","")&amp;IF(AND($F71&lt;&gt;"Done",$H71&lt;&gt;"",$H71&lt;TODAY())," ⚠",""))</f>
        <v/>
      </c>
    </row>
    <row r="72">
      <c r="A72" s="33">
        <f>IF($B72="","",COUNTA($B$2:$B72))</f>
        <v/>
      </c>
      <c r="B72" s="34" t="n"/>
      <c r="C72" s="34" t="n"/>
      <c r="D72" s="33" t="n"/>
      <c r="E72" s="33" t="n"/>
      <c r="F72" s="33" t="n"/>
      <c r="G72" s="35" t="n"/>
      <c r="H72" s="35" t="n"/>
      <c r="I72" s="36" t="n"/>
      <c r="J72" s="33">
        <f>IF($B72="","",IF($F72="Done","✔ 완료",IF($H72="","—",IF($H72&lt;TODAY(),"⚠ "&amp;(TODAY()-$H72)&amp;"일 지연",IF($H72=TODAY(),"🔔 오늘 마감","D-"&amp;($H72-TODAY()))))))</f>
        <v/>
      </c>
      <c r="K72" s="34" t="n"/>
      <c r="L72">
        <f>IF(AND($B72&lt;&gt;"",$F72="To Do"),COUNTIFS($B$2:$B72,"&lt;&gt;",$F$2:$F72,"To Do"),"")</f>
        <v/>
      </c>
      <c r="M72">
        <f>IF(AND($B72&lt;&gt;"",$F72="Doing"),COUNTIFS($B$2:$B72,"&lt;&gt;",$F$2:$F72,"Doing"),"")</f>
        <v/>
      </c>
      <c r="N72">
        <f>IF(AND($B72&lt;&gt;"",$F72="Done"),COUNTIFS($B$2:$B72,"&lt;&gt;",$F$2:$F72,"Done"),"")</f>
        <v/>
      </c>
      <c r="O72">
        <f>IF($B72="","",$B72&amp;"  |  "&amp;IF($D72="","담당자 미지정",$D72)&amp;IF($H72="",""," · ~"&amp;TEXT($H72,"m/d"))&amp;IF($E72="높음"," 🔺","")&amp;IF(AND($F72&lt;&gt;"Done",$H72&lt;&gt;"",$H72&lt;TODAY())," ⚠",""))</f>
        <v/>
      </c>
    </row>
    <row r="73">
      <c r="A73" s="33">
        <f>IF($B73="","",COUNTA($B$2:$B73))</f>
        <v/>
      </c>
      <c r="B73" s="34" t="n"/>
      <c r="C73" s="34" t="n"/>
      <c r="D73" s="33" t="n"/>
      <c r="E73" s="33" t="n"/>
      <c r="F73" s="33" t="n"/>
      <c r="G73" s="35" t="n"/>
      <c r="H73" s="35" t="n"/>
      <c r="I73" s="36" t="n"/>
      <c r="J73" s="33">
        <f>IF($B73="","",IF($F73="Done","✔ 완료",IF($H73="","—",IF($H73&lt;TODAY(),"⚠ "&amp;(TODAY()-$H73)&amp;"일 지연",IF($H73=TODAY(),"🔔 오늘 마감","D-"&amp;($H73-TODAY()))))))</f>
        <v/>
      </c>
      <c r="K73" s="34" t="n"/>
      <c r="L73">
        <f>IF(AND($B73&lt;&gt;"",$F73="To Do"),COUNTIFS($B$2:$B73,"&lt;&gt;",$F$2:$F73,"To Do"),"")</f>
        <v/>
      </c>
      <c r="M73">
        <f>IF(AND($B73&lt;&gt;"",$F73="Doing"),COUNTIFS($B$2:$B73,"&lt;&gt;",$F$2:$F73,"Doing"),"")</f>
        <v/>
      </c>
      <c r="N73">
        <f>IF(AND($B73&lt;&gt;"",$F73="Done"),COUNTIFS($B$2:$B73,"&lt;&gt;",$F$2:$F73,"Done"),"")</f>
        <v/>
      </c>
      <c r="O73">
        <f>IF($B73="","",$B73&amp;"  |  "&amp;IF($D73="","담당자 미지정",$D73)&amp;IF($H73="",""," · ~"&amp;TEXT($H73,"m/d"))&amp;IF($E73="높음"," 🔺","")&amp;IF(AND($F73&lt;&gt;"Done",$H73&lt;&gt;"",$H73&lt;TODAY())," ⚠",""))</f>
        <v/>
      </c>
    </row>
    <row r="74">
      <c r="A74" s="33">
        <f>IF($B74="","",COUNTA($B$2:$B74))</f>
        <v/>
      </c>
      <c r="B74" s="34" t="n"/>
      <c r="C74" s="34" t="n"/>
      <c r="D74" s="33" t="n"/>
      <c r="E74" s="33" t="n"/>
      <c r="F74" s="33" t="n"/>
      <c r="G74" s="35" t="n"/>
      <c r="H74" s="35" t="n"/>
      <c r="I74" s="36" t="n"/>
      <c r="J74" s="33">
        <f>IF($B74="","",IF($F74="Done","✔ 완료",IF($H74="","—",IF($H74&lt;TODAY(),"⚠ "&amp;(TODAY()-$H74)&amp;"일 지연",IF($H74=TODAY(),"🔔 오늘 마감","D-"&amp;($H74-TODAY()))))))</f>
        <v/>
      </c>
      <c r="K74" s="34" t="n"/>
      <c r="L74">
        <f>IF(AND($B74&lt;&gt;"",$F74="To Do"),COUNTIFS($B$2:$B74,"&lt;&gt;",$F$2:$F74,"To Do"),"")</f>
        <v/>
      </c>
      <c r="M74">
        <f>IF(AND($B74&lt;&gt;"",$F74="Doing"),COUNTIFS($B$2:$B74,"&lt;&gt;",$F$2:$F74,"Doing"),"")</f>
        <v/>
      </c>
      <c r="N74">
        <f>IF(AND($B74&lt;&gt;"",$F74="Done"),COUNTIFS($B$2:$B74,"&lt;&gt;",$F$2:$F74,"Done"),"")</f>
        <v/>
      </c>
      <c r="O74">
        <f>IF($B74="","",$B74&amp;"  |  "&amp;IF($D74="","담당자 미지정",$D74)&amp;IF($H74="",""," · ~"&amp;TEXT($H74,"m/d"))&amp;IF($E74="높음"," 🔺","")&amp;IF(AND($F74&lt;&gt;"Done",$H74&lt;&gt;"",$H74&lt;TODAY())," ⚠",""))</f>
        <v/>
      </c>
    </row>
    <row r="75">
      <c r="A75" s="33">
        <f>IF($B75="","",COUNTA($B$2:$B75))</f>
        <v/>
      </c>
      <c r="B75" s="34" t="n"/>
      <c r="C75" s="34" t="n"/>
      <c r="D75" s="33" t="n"/>
      <c r="E75" s="33" t="n"/>
      <c r="F75" s="33" t="n"/>
      <c r="G75" s="35" t="n"/>
      <c r="H75" s="35" t="n"/>
      <c r="I75" s="36" t="n"/>
      <c r="J75" s="33">
        <f>IF($B75="","",IF($F75="Done","✔ 완료",IF($H75="","—",IF($H75&lt;TODAY(),"⚠ "&amp;(TODAY()-$H75)&amp;"일 지연",IF($H75=TODAY(),"🔔 오늘 마감","D-"&amp;($H75-TODAY()))))))</f>
        <v/>
      </c>
      <c r="K75" s="34" t="n"/>
      <c r="L75">
        <f>IF(AND($B75&lt;&gt;"",$F75="To Do"),COUNTIFS($B$2:$B75,"&lt;&gt;",$F$2:$F75,"To Do"),"")</f>
        <v/>
      </c>
      <c r="M75">
        <f>IF(AND($B75&lt;&gt;"",$F75="Doing"),COUNTIFS($B$2:$B75,"&lt;&gt;",$F$2:$F75,"Doing"),"")</f>
        <v/>
      </c>
      <c r="N75">
        <f>IF(AND($B75&lt;&gt;"",$F75="Done"),COUNTIFS($B$2:$B75,"&lt;&gt;",$F$2:$F75,"Done"),"")</f>
        <v/>
      </c>
      <c r="O75">
        <f>IF($B75="","",$B75&amp;"  |  "&amp;IF($D75="","담당자 미지정",$D75)&amp;IF($H75="",""," · ~"&amp;TEXT($H75,"m/d"))&amp;IF($E75="높음"," 🔺","")&amp;IF(AND($F75&lt;&gt;"Done",$H75&lt;&gt;"",$H75&lt;TODAY())," ⚠",""))</f>
        <v/>
      </c>
    </row>
    <row r="76">
      <c r="A76" s="33">
        <f>IF($B76="","",COUNTA($B$2:$B76))</f>
        <v/>
      </c>
      <c r="B76" s="34" t="n"/>
      <c r="C76" s="34" t="n"/>
      <c r="D76" s="33" t="n"/>
      <c r="E76" s="33" t="n"/>
      <c r="F76" s="33" t="n"/>
      <c r="G76" s="35" t="n"/>
      <c r="H76" s="35" t="n"/>
      <c r="I76" s="36" t="n"/>
      <c r="J76" s="33">
        <f>IF($B76="","",IF($F76="Done","✔ 완료",IF($H76="","—",IF($H76&lt;TODAY(),"⚠ "&amp;(TODAY()-$H76)&amp;"일 지연",IF($H76=TODAY(),"🔔 오늘 마감","D-"&amp;($H76-TODAY()))))))</f>
        <v/>
      </c>
      <c r="K76" s="34" t="n"/>
      <c r="L76">
        <f>IF(AND($B76&lt;&gt;"",$F76="To Do"),COUNTIFS($B$2:$B76,"&lt;&gt;",$F$2:$F76,"To Do"),"")</f>
        <v/>
      </c>
      <c r="M76">
        <f>IF(AND($B76&lt;&gt;"",$F76="Doing"),COUNTIFS($B$2:$B76,"&lt;&gt;",$F$2:$F76,"Doing"),"")</f>
        <v/>
      </c>
      <c r="N76">
        <f>IF(AND($B76&lt;&gt;"",$F76="Done"),COUNTIFS($B$2:$B76,"&lt;&gt;",$F$2:$F76,"Done"),"")</f>
        <v/>
      </c>
      <c r="O76">
        <f>IF($B76="","",$B76&amp;"  |  "&amp;IF($D76="","담당자 미지정",$D76)&amp;IF($H76="",""," · ~"&amp;TEXT($H76,"m/d"))&amp;IF($E76="높음"," 🔺","")&amp;IF(AND($F76&lt;&gt;"Done",$H76&lt;&gt;"",$H76&lt;TODAY())," ⚠",""))</f>
        <v/>
      </c>
    </row>
    <row r="77">
      <c r="A77" s="33">
        <f>IF($B77="","",COUNTA($B$2:$B77))</f>
        <v/>
      </c>
      <c r="B77" s="34" t="n"/>
      <c r="C77" s="34" t="n"/>
      <c r="D77" s="33" t="n"/>
      <c r="E77" s="33" t="n"/>
      <c r="F77" s="33" t="n"/>
      <c r="G77" s="35" t="n"/>
      <c r="H77" s="35" t="n"/>
      <c r="I77" s="36" t="n"/>
      <c r="J77" s="33">
        <f>IF($B77="","",IF($F77="Done","✔ 완료",IF($H77="","—",IF($H77&lt;TODAY(),"⚠ "&amp;(TODAY()-$H77)&amp;"일 지연",IF($H77=TODAY(),"🔔 오늘 마감","D-"&amp;($H77-TODAY()))))))</f>
        <v/>
      </c>
      <c r="K77" s="34" t="n"/>
      <c r="L77">
        <f>IF(AND($B77&lt;&gt;"",$F77="To Do"),COUNTIFS($B$2:$B77,"&lt;&gt;",$F$2:$F77,"To Do"),"")</f>
        <v/>
      </c>
      <c r="M77">
        <f>IF(AND($B77&lt;&gt;"",$F77="Doing"),COUNTIFS($B$2:$B77,"&lt;&gt;",$F$2:$F77,"Doing"),"")</f>
        <v/>
      </c>
      <c r="N77">
        <f>IF(AND($B77&lt;&gt;"",$F77="Done"),COUNTIFS($B$2:$B77,"&lt;&gt;",$F$2:$F77,"Done"),"")</f>
        <v/>
      </c>
      <c r="O77">
        <f>IF($B77="","",$B77&amp;"  |  "&amp;IF($D77="","담당자 미지정",$D77)&amp;IF($H77="",""," · ~"&amp;TEXT($H77,"m/d"))&amp;IF($E77="높음"," 🔺","")&amp;IF(AND($F77&lt;&gt;"Done",$H77&lt;&gt;"",$H77&lt;TODAY())," ⚠",""))</f>
        <v/>
      </c>
    </row>
    <row r="78">
      <c r="A78" s="33">
        <f>IF($B78="","",COUNTA($B$2:$B78))</f>
        <v/>
      </c>
      <c r="B78" s="34" t="n"/>
      <c r="C78" s="34" t="n"/>
      <c r="D78" s="33" t="n"/>
      <c r="E78" s="33" t="n"/>
      <c r="F78" s="33" t="n"/>
      <c r="G78" s="35" t="n"/>
      <c r="H78" s="35" t="n"/>
      <c r="I78" s="36" t="n"/>
      <c r="J78" s="33">
        <f>IF($B78="","",IF($F78="Done","✔ 완료",IF($H78="","—",IF($H78&lt;TODAY(),"⚠ "&amp;(TODAY()-$H78)&amp;"일 지연",IF($H78=TODAY(),"🔔 오늘 마감","D-"&amp;($H78-TODAY()))))))</f>
        <v/>
      </c>
      <c r="K78" s="34" t="n"/>
      <c r="L78">
        <f>IF(AND($B78&lt;&gt;"",$F78="To Do"),COUNTIFS($B$2:$B78,"&lt;&gt;",$F$2:$F78,"To Do"),"")</f>
        <v/>
      </c>
      <c r="M78">
        <f>IF(AND($B78&lt;&gt;"",$F78="Doing"),COUNTIFS($B$2:$B78,"&lt;&gt;",$F$2:$F78,"Doing"),"")</f>
        <v/>
      </c>
      <c r="N78">
        <f>IF(AND($B78&lt;&gt;"",$F78="Done"),COUNTIFS($B$2:$B78,"&lt;&gt;",$F$2:$F78,"Done"),"")</f>
        <v/>
      </c>
      <c r="O78">
        <f>IF($B78="","",$B78&amp;"  |  "&amp;IF($D78="","담당자 미지정",$D78)&amp;IF($H78="",""," · ~"&amp;TEXT($H78,"m/d"))&amp;IF($E78="높음"," 🔺","")&amp;IF(AND($F78&lt;&gt;"Done",$H78&lt;&gt;"",$H78&lt;TODAY())," ⚠",""))</f>
        <v/>
      </c>
    </row>
    <row r="79">
      <c r="A79" s="33">
        <f>IF($B79="","",COUNTA($B$2:$B79))</f>
        <v/>
      </c>
      <c r="B79" s="34" t="n"/>
      <c r="C79" s="34" t="n"/>
      <c r="D79" s="33" t="n"/>
      <c r="E79" s="33" t="n"/>
      <c r="F79" s="33" t="n"/>
      <c r="G79" s="35" t="n"/>
      <c r="H79" s="35" t="n"/>
      <c r="I79" s="36" t="n"/>
      <c r="J79" s="33">
        <f>IF($B79="","",IF($F79="Done","✔ 완료",IF($H79="","—",IF($H79&lt;TODAY(),"⚠ "&amp;(TODAY()-$H79)&amp;"일 지연",IF($H79=TODAY(),"🔔 오늘 마감","D-"&amp;($H79-TODAY()))))))</f>
        <v/>
      </c>
      <c r="K79" s="34" t="n"/>
      <c r="L79">
        <f>IF(AND($B79&lt;&gt;"",$F79="To Do"),COUNTIFS($B$2:$B79,"&lt;&gt;",$F$2:$F79,"To Do"),"")</f>
        <v/>
      </c>
      <c r="M79">
        <f>IF(AND($B79&lt;&gt;"",$F79="Doing"),COUNTIFS($B$2:$B79,"&lt;&gt;",$F$2:$F79,"Doing"),"")</f>
        <v/>
      </c>
      <c r="N79">
        <f>IF(AND($B79&lt;&gt;"",$F79="Done"),COUNTIFS($B$2:$B79,"&lt;&gt;",$F$2:$F79,"Done"),"")</f>
        <v/>
      </c>
      <c r="O79">
        <f>IF($B79="","",$B79&amp;"  |  "&amp;IF($D79="","담당자 미지정",$D79)&amp;IF($H79="",""," · ~"&amp;TEXT($H79,"m/d"))&amp;IF($E79="높음"," 🔺","")&amp;IF(AND($F79&lt;&gt;"Done",$H79&lt;&gt;"",$H79&lt;TODAY())," ⚠",""))</f>
        <v/>
      </c>
    </row>
    <row r="80">
      <c r="A80" s="33">
        <f>IF($B80="","",COUNTA($B$2:$B80))</f>
        <v/>
      </c>
      <c r="B80" s="34" t="n"/>
      <c r="C80" s="34" t="n"/>
      <c r="D80" s="33" t="n"/>
      <c r="E80" s="33" t="n"/>
      <c r="F80" s="33" t="n"/>
      <c r="G80" s="35" t="n"/>
      <c r="H80" s="35" t="n"/>
      <c r="I80" s="36" t="n"/>
      <c r="J80" s="33">
        <f>IF($B80="","",IF($F80="Done","✔ 완료",IF($H80="","—",IF($H80&lt;TODAY(),"⚠ "&amp;(TODAY()-$H80)&amp;"일 지연",IF($H80=TODAY(),"🔔 오늘 마감","D-"&amp;($H80-TODAY()))))))</f>
        <v/>
      </c>
      <c r="K80" s="34" t="n"/>
      <c r="L80">
        <f>IF(AND($B80&lt;&gt;"",$F80="To Do"),COUNTIFS($B$2:$B80,"&lt;&gt;",$F$2:$F80,"To Do"),"")</f>
        <v/>
      </c>
      <c r="M80">
        <f>IF(AND($B80&lt;&gt;"",$F80="Doing"),COUNTIFS($B$2:$B80,"&lt;&gt;",$F$2:$F80,"Doing"),"")</f>
        <v/>
      </c>
      <c r="N80">
        <f>IF(AND($B80&lt;&gt;"",$F80="Done"),COUNTIFS($B$2:$B80,"&lt;&gt;",$F$2:$F80,"Done"),"")</f>
        <v/>
      </c>
      <c r="O80">
        <f>IF($B80="","",$B80&amp;"  |  "&amp;IF($D80="","담당자 미지정",$D80)&amp;IF($H80="",""," · ~"&amp;TEXT($H80,"m/d"))&amp;IF($E80="높음"," 🔺","")&amp;IF(AND($F80&lt;&gt;"Done",$H80&lt;&gt;"",$H80&lt;TODAY())," ⚠",""))</f>
        <v/>
      </c>
    </row>
    <row r="81">
      <c r="A81" s="33">
        <f>IF($B81="","",COUNTA($B$2:$B81))</f>
        <v/>
      </c>
      <c r="B81" s="34" t="n"/>
      <c r="C81" s="34" t="n"/>
      <c r="D81" s="33" t="n"/>
      <c r="E81" s="33" t="n"/>
      <c r="F81" s="33" t="n"/>
      <c r="G81" s="35" t="n"/>
      <c r="H81" s="35" t="n"/>
      <c r="I81" s="36" t="n"/>
      <c r="J81" s="33">
        <f>IF($B81="","",IF($F81="Done","✔ 완료",IF($H81="","—",IF($H81&lt;TODAY(),"⚠ "&amp;(TODAY()-$H81)&amp;"일 지연",IF($H81=TODAY(),"🔔 오늘 마감","D-"&amp;($H81-TODAY()))))))</f>
        <v/>
      </c>
      <c r="K81" s="34" t="n"/>
      <c r="L81">
        <f>IF(AND($B81&lt;&gt;"",$F81="To Do"),COUNTIFS($B$2:$B81,"&lt;&gt;",$F$2:$F81,"To Do"),"")</f>
        <v/>
      </c>
      <c r="M81">
        <f>IF(AND($B81&lt;&gt;"",$F81="Doing"),COUNTIFS($B$2:$B81,"&lt;&gt;",$F$2:$F81,"Doing"),"")</f>
        <v/>
      </c>
      <c r="N81">
        <f>IF(AND($B81&lt;&gt;"",$F81="Done"),COUNTIFS($B$2:$B81,"&lt;&gt;",$F$2:$F81,"Done"),"")</f>
        <v/>
      </c>
      <c r="O81">
        <f>IF($B81="","",$B81&amp;"  |  "&amp;IF($D81="","담당자 미지정",$D81)&amp;IF($H81="",""," · ~"&amp;TEXT($H81,"m/d"))&amp;IF($E81="높음"," 🔺","")&amp;IF(AND($F81&lt;&gt;"Done",$H81&lt;&gt;"",$H81&lt;TODAY())," ⚠",""))</f>
        <v/>
      </c>
    </row>
    <row r="82">
      <c r="A82" s="33">
        <f>IF($B82="","",COUNTA($B$2:$B82))</f>
        <v/>
      </c>
      <c r="B82" s="34" t="n"/>
      <c r="C82" s="34" t="n"/>
      <c r="D82" s="33" t="n"/>
      <c r="E82" s="33" t="n"/>
      <c r="F82" s="33" t="n"/>
      <c r="G82" s="35" t="n"/>
      <c r="H82" s="35" t="n"/>
      <c r="I82" s="36" t="n"/>
      <c r="J82" s="33">
        <f>IF($B82="","",IF($F82="Done","✔ 완료",IF($H82="","—",IF($H82&lt;TODAY(),"⚠ "&amp;(TODAY()-$H82)&amp;"일 지연",IF($H82=TODAY(),"🔔 오늘 마감","D-"&amp;($H82-TODAY()))))))</f>
        <v/>
      </c>
      <c r="K82" s="34" t="n"/>
      <c r="L82">
        <f>IF(AND($B82&lt;&gt;"",$F82="To Do"),COUNTIFS($B$2:$B82,"&lt;&gt;",$F$2:$F82,"To Do"),"")</f>
        <v/>
      </c>
      <c r="M82">
        <f>IF(AND($B82&lt;&gt;"",$F82="Doing"),COUNTIFS($B$2:$B82,"&lt;&gt;",$F$2:$F82,"Doing"),"")</f>
        <v/>
      </c>
      <c r="N82">
        <f>IF(AND($B82&lt;&gt;"",$F82="Done"),COUNTIFS($B$2:$B82,"&lt;&gt;",$F$2:$F82,"Done"),"")</f>
        <v/>
      </c>
      <c r="O82">
        <f>IF($B82="","",$B82&amp;"  |  "&amp;IF($D82="","담당자 미지정",$D82)&amp;IF($H82="",""," · ~"&amp;TEXT($H82,"m/d"))&amp;IF($E82="높음"," 🔺","")&amp;IF(AND($F82&lt;&gt;"Done",$H82&lt;&gt;"",$H82&lt;TODAY())," ⚠",""))</f>
        <v/>
      </c>
    </row>
    <row r="83">
      <c r="A83" s="33">
        <f>IF($B83="","",COUNTA($B$2:$B83))</f>
        <v/>
      </c>
      <c r="B83" s="34" t="n"/>
      <c r="C83" s="34" t="n"/>
      <c r="D83" s="33" t="n"/>
      <c r="E83" s="33" t="n"/>
      <c r="F83" s="33" t="n"/>
      <c r="G83" s="35" t="n"/>
      <c r="H83" s="35" t="n"/>
      <c r="I83" s="36" t="n"/>
      <c r="J83" s="33">
        <f>IF($B83="","",IF($F83="Done","✔ 완료",IF($H83="","—",IF($H83&lt;TODAY(),"⚠ "&amp;(TODAY()-$H83)&amp;"일 지연",IF($H83=TODAY(),"🔔 오늘 마감","D-"&amp;($H83-TODAY()))))))</f>
        <v/>
      </c>
      <c r="K83" s="34" t="n"/>
      <c r="L83">
        <f>IF(AND($B83&lt;&gt;"",$F83="To Do"),COUNTIFS($B$2:$B83,"&lt;&gt;",$F$2:$F83,"To Do"),"")</f>
        <v/>
      </c>
      <c r="M83">
        <f>IF(AND($B83&lt;&gt;"",$F83="Doing"),COUNTIFS($B$2:$B83,"&lt;&gt;",$F$2:$F83,"Doing"),"")</f>
        <v/>
      </c>
      <c r="N83">
        <f>IF(AND($B83&lt;&gt;"",$F83="Done"),COUNTIFS($B$2:$B83,"&lt;&gt;",$F$2:$F83,"Done"),"")</f>
        <v/>
      </c>
      <c r="O83">
        <f>IF($B83="","",$B83&amp;"  |  "&amp;IF($D83="","담당자 미지정",$D83)&amp;IF($H83="",""," · ~"&amp;TEXT($H83,"m/d"))&amp;IF($E83="높음"," 🔺","")&amp;IF(AND($F83&lt;&gt;"Done",$H83&lt;&gt;"",$H83&lt;TODAY())," ⚠",""))</f>
        <v/>
      </c>
    </row>
    <row r="84">
      <c r="A84" s="33">
        <f>IF($B84="","",COUNTA($B$2:$B84))</f>
        <v/>
      </c>
      <c r="B84" s="34" t="n"/>
      <c r="C84" s="34" t="n"/>
      <c r="D84" s="33" t="n"/>
      <c r="E84" s="33" t="n"/>
      <c r="F84" s="33" t="n"/>
      <c r="G84" s="35" t="n"/>
      <c r="H84" s="35" t="n"/>
      <c r="I84" s="36" t="n"/>
      <c r="J84" s="33">
        <f>IF($B84="","",IF($F84="Done","✔ 완료",IF($H84="","—",IF($H84&lt;TODAY(),"⚠ "&amp;(TODAY()-$H84)&amp;"일 지연",IF($H84=TODAY(),"🔔 오늘 마감","D-"&amp;($H84-TODAY()))))))</f>
        <v/>
      </c>
      <c r="K84" s="34" t="n"/>
      <c r="L84">
        <f>IF(AND($B84&lt;&gt;"",$F84="To Do"),COUNTIFS($B$2:$B84,"&lt;&gt;",$F$2:$F84,"To Do"),"")</f>
        <v/>
      </c>
      <c r="M84">
        <f>IF(AND($B84&lt;&gt;"",$F84="Doing"),COUNTIFS($B$2:$B84,"&lt;&gt;",$F$2:$F84,"Doing"),"")</f>
        <v/>
      </c>
      <c r="N84">
        <f>IF(AND($B84&lt;&gt;"",$F84="Done"),COUNTIFS($B$2:$B84,"&lt;&gt;",$F$2:$F84,"Done"),"")</f>
        <v/>
      </c>
      <c r="O84">
        <f>IF($B84="","",$B84&amp;"  |  "&amp;IF($D84="","담당자 미지정",$D84)&amp;IF($H84="",""," · ~"&amp;TEXT($H84,"m/d"))&amp;IF($E84="높음"," 🔺","")&amp;IF(AND($F84&lt;&gt;"Done",$H84&lt;&gt;"",$H84&lt;TODAY())," ⚠",""))</f>
        <v/>
      </c>
    </row>
    <row r="85">
      <c r="A85" s="33">
        <f>IF($B85="","",COUNTA($B$2:$B85))</f>
        <v/>
      </c>
      <c r="B85" s="34" t="n"/>
      <c r="C85" s="34" t="n"/>
      <c r="D85" s="33" t="n"/>
      <c r="E85" s="33" t="n"/>
      <c r="F85" s="33" t="n"/>
      <c r="G85" s="35" t="n"/>
      <c r="H85" s="35" t="n"/>
      <c r="I85" s="36" t="n"/>
      <c r="J85" s="33">
        <f>IF($B85="","",IF($F85="Done","✔ 완료",IF($H85="","—",IF($H85&lt;TODAY(),"⚠ "&amp;(TODAY()-$H85)&amp;"일 지연",IF($H85=TODAY(),"🔔 오늘 마감","D-"&amp;($H85-TODAY()))))))</f>
        <v/>
      </c>
      <c r="K85" s="34" t="n"/>
      <c r="L85">
        <f>IF(AND($B85&lt;&gt;"",$F85="To Do"),COUNTIFS($B$2:$B85,"&lt;&gt;",$F$2:$F85,"To Do"),"")</f>
        <v/>
      </c>
      <c r="M85">
        <f>IF(AND($B85&lt;&gt;"",$F85="Doing"),COUNTIFS($B$2:$B85,"&lt;&gt;",$F$2:$F85,"Doing"),"")</f>
        <v/>
      </c>
      <c r="N85">
        <f>IF(AND($B85&lt;&gt;"",$F85="Done"),COUNTIFS($B$2:$B85,"&lt;&gt;",$F$2:$F85,"Done"),"")</f>
        <v/>
      </c>
      <c r="O85">
        <f>IF($B85="","",$B85&amp;"  |  "&amp;IF($D85="","담당자 미지정",$D85)&amp;IF($H85="",""," · ~"&amp;TEXT($H85,"m/d"))&amp;IF($E85="높음"," 🔺","")&amp;IF(AND($F85&lt;&gt;"Done",$H85&lt;&gt;"",$H85&lt;TODAY())," ⚠",""))</f>
        <v/>
      </c>
    </row>
    <row r="86">
      <c r="A86" s="33">
        <f>IF($B86="","",COUNTA($B$2:$B86))</f>
        <v/>
      </c>
      <c r="B86" s="34" t="n"/>
      <c r="C86" s="34" t="n"/>
      <c r="D86" s="33" t="n"/>
      <c r="E86" s="33" t="n"/>
      <c r="F86" s="33" t="n"/>
      <c r="G86" s="35" t="n"/>
      <c r="H86" s="35" t="n"/>
      <c r="I86" s="36" t="n"/>
      <c r="J86" s="33">
        <f>IF($B86="","",IF($F86="Done","✔ 완료",IF($H86="","—",IF($H86&lt;TODAY(),"⚠ "&amp;(TODAY()-$H86)&amp;"일 지연",IF($H86=TODAY(),"🔔 오늘 마감","D-"&amp;($H86-TODAY()))))))</f>
        <v/>
      </c>
      <c r="K86" s="34" t="n"/>
      <c r="L86">
        <f>IF(AND($B86&lt;&gt;"",$F86="To Do"),COUNTIFS($B$2:$B86,"&lt;&gt;",$F$2:$F86,"To Do"),"")</f>
        <v/>
      </c>
      <c r="M86">
        <f>IF(AND($B86&lt;&gt;"",$F86="Doing"),COUNTIFS($B$2:$B86,"&lt;&gt;",$F$2:$F86,"Doing"),"")</f>
        <v/>
      </c>
      <c r="N86">
        <f>IF(AND($B86&lt;&gt;"",$F86="Done"),COUNTIFS($B$2:$B86,"&lt;&gt;",$F$2:$F86,"Done"),"")</f>
        <v/>
      </c>
      <c r="O86">
        <f>IF($B86="","",$B86&amp;"  |  "&amp;IF($D86="","담당자 미지정",$D86)&amp;IF($H86="",""," · ~"&amp;TEXT($H86,"m/d"))&amp;IF($E86="높음"," 🔺","")&amp;IF(AND($F86&lt;&gt;"Done",$H86&lt;&gt;"",$H86&lt;TODAY())," ⚠",""))</f>
        <v/>
      </c>
    </row>
    <row r="87">
      <c r="A87" s="33">
        <f>IF($B87="","",COUNTA($B$2:$B87))</f>
        <v/>
      </c>
      <c r="B87" s="34" t="n"/>
      <c r="C87" s="34" t="n"/>
      <c r="D87" s="33" t="n"/>
      <c r="E87" s="33" t="n"/>
      <c r="F87" s="33" t="n"/>
      <c r="G87" s="35" t="n"/>
      <c r="H87" s="35" t="n"/>
      <c r="I87" s="36" t="n"/>
      <c r="J87" s="33">
        <f>IF($B87="","",IF($F87="Done","✔ 완료",IF($H87="","—",IF($H87&lt;TODAY(),"⚠ "&amp;(TODAY()-$H87)&amp;"일 지연",IF($H87=TODAY(),"🔔 오늘 마감","D-"&amp;($H87-TODAY()))))))</f>
        <v/>
      </c>
      <c r="K87" s="34" t="n"/>
      <c r="L87">
        <f>IF(AND($B87&lt;&gt;"",$F87="To Do"),COUNTIFS($B$2:$B87,"&lt;&gt;",$F$2:$F87,"To Do"),"")</f>
        <v/>
      </c>
      <c r="M87">
        <f>IF(AND($B87&lt;&gt;"",$F87="Doing"),COUNTIFS($B$2:$B87,"&lt;&gt;",$F$2:$F87,"Doing"),"")</f>
        <v/>
      </c>
      <c r="N87">
        <f>IF(AND($B87&lt;&gt;"",$F87="Done"),COUNTIFS($B$2:$B87,"&lt;&gt;",$F$2:$F87,"Done"),"")</f>
        <v/>
      </c>
      <c r="O87">
        <f>IF($B87="","",$B87&amp;"  |  "&amp;IF($D87="","담당자 미지정",$D87)&amp;IF($H87="",""," · ~"&amp;TEXT($H87,"m/d"))&amp;IF($E87="높음"," 🔺","")&amp;IF(AND($F87&lt;&gt;"Done",$H87&lt;&gt;"",$H87&lt;TODAY())," ⚠",""))</f>
        <v/>
      </c>
    </row>
    <row r="88">
      <c r="A88" s="33">
        <f>IF($B88="","",COUNTA($B$2:$B88))</f>
        <v/>
      </c>
      <c r="B88" s="34" t="n"/>
      <c r="C88" s="34" t="n"/>
      <c r="D88" s="33" t="n"/>
      <c r="E88" s="33" t="n"/>
      <c r="F88" s="33" t="n"/>
      <c r="G88" s="35" t="n"/>
      <c r="H88" s="35" t="n"/>
      <c r="I88" s="36" t="n"/>
      <c r="J88" s="33">
        <f>IF($B88="","",IF($F88="Done","✔ 완료",IF($H88="","—",IF($H88&lt;TODAY(),"⚠ "&amp;(TODAY()-$H88)&amp;"일 지연",IF($H88=TODAY(),"🔔 오늘 마감","D-"&amp;($H88-TODAY()))))))</f>
        <v/>
      </c>
      <c r="K88" s="34" t="n"/>
      <c r="L88">
        <f>IF(AND($B88&lt;&gt;"",$F88="To Do"),COUNTIFS($B$2:$B88,"&lt;&gt;",$F$2:$F88,"To Do"),"")</f>
        <v/>
      </c>
      <c r="M88">
        <f>IF(AND($B88&lt;&gt;"",$F88="Doing"),COUNTIFS($B$2:$B88,"&lt;&gt;",$F$2:$F88,"Doing"),"")</f>
        <v/>
      </c>
      <c r="N88">
        <f>IF(AND($B88&lt;&gt;"",$F88="Done"),COUNTIFS($B$2:$B88,"&lt;&gt;",$F$2:$F88,"Done"),"")</f>
        <v/>
      </c>
      <c r="O88">
        <f>IF($B88="","",$B88&amp;"  |  "&amp;IF($D88="","담당자 미지정",$D88)&amp;IF($H88="",""," · ~"&amp;TEXT($H88,"m/d"))&amp;IF($E88="높음"," 🔺","")&amp;IF(AND($F88&lt;&gt;"Done",$H88&lt;&gt;"",$H88&lt;TODAY())," ⚠",""))</f>
        <v/>
      </c>
    </row>
    <row r="89">
      <c r="A89" s="33">
        <f>IF($B89="","",COUNTA($B$2:$B89))</f>
        <v/>
      </c>
      <c r="B89" s="34" t="n"/>
      <c r="C89" s="34" t="n"/>
      <c r="D89" s="33" t="n"/>
      <c r="E89" s="33" t="n"/>
      <c r="F89" s="33" t="n"/>
      <c r="G89" s="35" t="n"/>
      <c r="H89" s="35" t="n"/>
      <c r="I89" s="36" t="n"/>
      <c r="J89" s="33">
        <f>IF($B89="","",IF($F89="Done","✔ 완료",IF($H89="","—",IF($H89&lt;TODAY(),"⚠ "&amp;(TODAY()-$H89)&amp;"일 지연",IF($H89=TODAY(),"🔔 오늘 마감","D-"&amp;($H89-TODAY()))))))</f>
        <v/>
      </c>
      <c r="K89" s="34" t="n"/>
      <c r="L89">
        <f>IF(AND($B89&lt;&gt;"",$F89="To Do"),COUNTIFS($B$2:$B89,"&lt;&gt;",$F$2:$F89,"To Do"),"")</f>
        <v/>
      </c>
      <c r="M89">
        <f>IF(AND($B89&lt;&gt;"",$F89="Doing"),COUNTIFS($B$2:$B89,"&lt;&gt;",$F$2:$F89,"Doing"),"")</f>
        <v/>
      </c>
      <c r="N89">
        <f>IF(AND($B89&lt;&gt;"",$F89="Done"),COUNTIFS($B$2:$B89,"&lt;&gt;",$F$2:$F89,"Done"),"")</f>
        <v/>
      </c>
      <c r="O89">
        <f>IF($B89="","",$B89&amp;"  |  "&amp;IF($D89="","담당자 미지정",$D89)&amp;IF($H89="",""," · ~"&amp;TEXT($H89,"m/d"))&amp;IF($E89="높음"," 🔺","")&amp;IF(AND($F89&lt;&gt;"Done",$H89&lt;&gt;"",$H89&lt;TODAY())," ⚠",""))</f>
        <v/>
      </c>
    </row>
    <row r="90">
      <c r="A90" s="33">
        <f>IF($B90="","",COUNTA($B$2:$B90))</f>
        <v/>
      </c>
      <c r="B90" s="34" t="n"/>
      <c r="C90" s="34" t="n"/>
      <c r="D90" s="33" t="n"/>
      <c r="E90" s="33" t="n"/>
      <c r="F90" s="33" t="n"/>
      <c r="G90" s="35" t="n"/>
      <c r="H90" s="35" t="n"/>
      <c r="I90" s="36" t="n"/>
      <c r="J90" s="33">
        <f>IF($B90="","",IF($F90="Done","✔ 완료",IF($H90="","—",IF($H90&lt;TODAY(),"⚠ "&amp;(TODAY()-$H90)&amp;"일 지연",IF($H90=TODAY(),"🔔 오늘 마감","D-"&amp;($H90-TODAY()))))))</f>
        <v/>
      </c>
      <c r="K90" s="34" t="n"/>
      <c r="L90">
        <f>IF(AND($B90&lt;&gt;"",$F90="To Do"),COUNTIFS($B$2:$B90,"&lt;&gt;",$F$2:$F90,"To Do"),"")</f>
        <v/>
      </c>
      <c r="M90">
        <f>IF(AND($B90&lt;&gt;"",$F90="Doing"),COUNTIFS($B$2:$B90,"&lt;&gt;",$F$2:$F90,"Doing"),"")</f>
        <v/>
      </c>
      <c r="N90">
        <f>IF(AND($B90&lt;&gt;"",$F90="Done"),COUNTIFS($B$2:$B90,"&lt;&gt;",$F$2:$F90,"Done"),"")</f>
        <v/>
      </c>
      <c r="O90">
        <f>IF($B90="","",$B90&amp;"  |  "&amp;IF($D90="","담당자 미지정",$D90)&amp;IF($H90="",""," · ~"&amp;TEXT($H90,"m/d"))&amp;IF($E90="높음"," 🔺","")&amp;IF(AND($F90&lt;&gt;"Done",$H90&lt;&gt;"",$H90&lt;TODAY())," ⚠",""))</f>
        <v/>
      </c>
    </row>
    <row r="91">
      <c r="A91" s="33">
        <f>IF($B91="","",COUNTA($B$2:$B91))</f>
        <v/>
      </c>
      <c r="B91" s="34" t="n"/>
      <c r="C91" s="34" t="n"/>
      <c r="D91" s="33" t="n"/>
      <c r="E91" s="33" t="n"/>
      <c r="F91" s="33" t="n"/>
      <c r="G91" s="35" t="n"/>
      <c r="H91" s="35" t="n"/>
      <c r="I91" s="36" t="n"/>
      <c r="J91" s="33">
        <f>IF($B91="","",IF($F91="Done","✔ 완료",IF($H91="","—",IF($H91&lt;TODAY(),"⚠ "&amp;(TODAY()-$H91)&amp;"일 지연",IF($H91=TODAY(),"🔔 오늘 마감","D-"&amp;($H91-TODAY()))))))</f>
        <v/>
      </c>
      <c r="K91" s="34" t="n"/>
      <c r="L91">
        <f>IF(AND($B91&lt;&gt;"",$F91="To Do"),COUNTIFS($B$2:$B91,"&lt;&gt;",$F$2:$F91,"To Do"),"")</f>
        <v/>
      </c>
      <c r="M91">
        <f>IF(AND($B91&lt;&gt;"",$F91="Doing"),COUNTIFS($B$2:$B91,"&lt;&gt;",$F$2:$F91,"Doing"),"")</f>
        <v/>
      </c>
      <c r="N91">
        <f>IF(AND($B91&lt;&gt;"",$F91="Done"),COUNTIFS($B$2:$B91,"&lt;&gt;",$F$2:$F91,"Done"),"")</f>
        <v/>
      </c>
      <c r="O91">
        <f>IF($B91="","",$B91&amp;"  |  "&amp;IF($D91="","담당자 미지정",$D91)&amp;IF($H91="",""," · ~"&amp;TEXT($H91,"m/d"))&amp;IF($E91="높음"," 🔺","")&amp;IF(AND($F91&lt;&gt;"Done",$H91&lt;&gt;"",$H91&lt;TODAY())," ⚠",""))</f>
        <v/>
      </c>
    </row>
    <row r="92">
      <c r="A92" s="33">
        <f>IF($B92="","",COUNTA($B$2:$B92))</f>
        <v/>
      </c>
      <c r="B92" s="34" t="n"/>
      <c r="C92" s="34" t="n"/>
      <c r="D92" s="33" t="n"/>
      <c r="E92" s="33" t="n"/>
      <c r="F92" s="33" t="n"/>
      <c r="G92" s="35" t="n"/>
      <c r="H92" s="35" t="n"/>
      <c r="I92" s="36" t="n"/>
      <c r="J92" s="33">
        <f>IF($B92="","",IF($F92="Done","✔ 완료",IF($H92="","—",IF($H92&lt;TODAY(),"⚠ "&amp;(TODAY()-$H92)&amp;"일 지연",IF($H92=TODAY(),"🔔 오늘 마감","D-"&amp;($H92-TODAY()))))))</f>
        <v/>
      </c>
      <c r="K92" s="34" t="n"/>
      <c r="L92">
        <f>IF(AND($B92&lt;&gt;"",$F92="To Do"),COUNTIFS($B$2:$B92,"&lt;&gt;",$F$2:$F92,"To Do"),"")</f>
        <v/>
      </c>
      <c r="M92">
        <f>IF(AND($B92&lt;&gt;"",$F92="Doing"),COUNTIFS($B$2:$B92,"&lt;&gt;",$F$2:$F92,"Doing"),"")</f>
        <v/>
      </c>
      <c r="N92">
        <f>IF(AND($B92&lt;&gt;"",$F92="Done"),COUNTIFS($B$2:$B92,"&lt;&gt;",$F$2:$F92,"Done"),"")</f>
        <v/>
      </c>
      <c r="O92">
        <f>IF($B92="","",$B92&amp;"  |  "&amp;IF($D92="","담당자 미지정",$D92)&amp;IF($H92="",""," · ~"&amp;TEXT($H92,"m/d"))&amp;IF($E92="높음"," 🔺","")&amp;IF(AND($F92&lt;&gt;"Done",$H92&lt;&gt;"",$H92&lt;TODAY())," ⚠",""))</f>
        <v/>
      </c>
    </row>
    <row r="93">
      <c r="A93" s="33">
        <f>IF($B93="","",COUNTA($B$2:$B93))</f>
        <v/>
      </c>
      <c r="B93" s="34" t="n"/>
      <c r="C93" s="34" t="n"/>
      <c r="D93" s="33" t="n"/>
      <c r="E93" s="33" t="n"/>
      <c r="F93" s="33" t="n"/>
      <c r="G93" s="35" t="n"/>
      <c r="H93" s="35" t="n"/>
      <c r="I93" s="36" t="n"/>
      <c r="J93" s="33">
        <f>IF($B93="","",IF($F93="Done","✔ 완료",IF($H93="","—",IF($H93&lt;TODAY(),"⚠ "&amp;(TODAY()-$H93)&amp;"일 지연",IF($H93=TODAY(),"🔔 오늘 마감","D-"&amp;($H93-TODAY()))))))</f>
        <v/>
      </c>
      <c r="K93" s="34" t="n"/>
      <c r="L93">
        <f>IF(AND($B93&lt;&gt;"",$F93="To Do"),COUNTIFS($B$2:$B93,"&lt;&gt;",$F$2:$F93,"To Do"),"")</f>
        <v/>
      </c>
      <c r="M93">
        <f>IF(AND($B93&lt;&gt;"",$F93="Doing"),COUNTIFS($B$2:$B93,"&lt;&gt;",$F$2:$F93,"Doing"),"")</f>
        <v/>
      </c>
      <c r="N93">
        <f>IF(AND($B93&lt;&gt;"",$F93="Done"),COUNTIFS($B$2:$B93,"&lt;&gt;",$F$2:$F93,"Done"),"")</f>
        <v/>
      </c>
      <c r="O93">
        <f>IF($B93="","",$B93&amp;"  |  "&amp;IF($D93="","담당자 미지정",$D93)&amp;IF($H93="",""," · ~"&amp;TEXT($H93,"m/d"))&amp;IF($E93="높음"," 🔺","")&amp;IF(AND($F93&lt;&gt;"Done",$H93&lt;&gt;"",$H93&lt;TODAY())," ⚠",""))</f>
        <v/>
      </c>
    </row>
    <row r="94">
      <c r="A94" s="33">
        <f>IF($B94="","",COUNTA($B$2:$B94))</f>
        <v/>
      </c>
      <c r="B94" s="34" t="n"/>
      <c r="C94" s="34" t="n"/>
      <c r="D94" s="33" t="n"/>
      <c r="E94" s="33" t="n"/>
      <c r="F94" s="33" t="n"/>
      <c r="G94" s="35" t="n"/>
      <c r="H94" s="35" t="n"/>
      <c r="I94" s="36" t="n"/>
      <c r="J94" s="33">
        <f>IF($B94="","",IF($F94="Done","✔ 완료",IF($H94="","—",IF($H94&lt;TODAY(),"⚠ "&amp;(TODAY()-$H94)&amp;"일 지연",IF($H94=TODAY(),"🔔 오늘 마감","D-"&amp;($H94-TODAY()))))))</f>
        <v/>
      </c>
      <c r="K94" s="34" t="n"/>
      <c r="L94">
        <f>IF(AND($B94&lt;&gt;"",$F94="To Do"),COUNTIFS($B$2:$B94,"&lt;&gt;",$F$2:$F94,"To Do"),"")</f>
        <v/>
      </c>
      <c r="M94">
        <f>IF(AND($B94&lt;&gt;"",$F94="Doing"),COUNTIFS($B$2:$B94,"&lt;&gt;",$F$2:$F94,"Doing"),"")</f>
        <v/>
      </c>
      <c r="N94">
        <f>IF(AND($B94&lt;&gt;"",$F94="Done"),COUNTIFS($B$2:$B94,"&lt;&gt;",$F$2:$F94,"Done"),"")</f>
        <v/>
      </c>
      <c r="O94">
        <f>IF($B94="","",$B94&amp;"  |  "&amp;IF($D94="","담당자 미지정",$D94)&amp;IF($H94="",""," · ~"&amp;TEXT($H94,"m/d"))&amp;IF($E94="높음"," 🔺","")&amp;IF(AND($F94&lt;&gt;"Done",$H94&lt;&gt;"",$H94&lt;TODAY())," ⚠",""))</f>
        <v/>
      </c>
    </row>
    <row r="95">
      <c r="A95" s="33">
        <f>IF($B95="","",COUNTA($B$2:$B95))</f>
        <v/>
      </c>
      <c r="B95" s="34" t="n"/>
      <c r="C95" s="34" t="n"/>
      <c r="D95" s="33" t="n"/>
      <c r="E95" s="33" t="n"/>
      <c r="F95" s="33" t="n"/>
      <c r="G95" s="35" t="n"/>
      <c r="H95" s="35" t="n"/>
      <c r="I95" s="36" t="n"/>
      <c r="J95" s="33">
        <f>IF($B95="","",IF($F95="Done","✔ 완료",IF($H95="","—",IF($H95&lt;TODAY(),"⚠ "&amp;(TODAY()-$H95)&amp;"일 지연",IF($H95=TODAY(),"🔔 오늘 마감","D-"&amp;($H95-TODAY()))))))</f>
        <v/>
      </c>
      <c r="K95" s="34" t="n"/>
      <c r="L95">
        <f>IF(AND($B95&lt;&gt;"",$F95="To Do"),COUNTIFS($B$2:$B95,"&lt;&gt;",$F$2:$F95,"To Do"),"")</f>
        <v/>
      </c>
      <c r="M95">
        <f>IF(AND($B95&lt;&gt;"",$F95="Doing"),COUNTIFS($B$2:$B95,"&lt;&gt;",$F$2:$F95,"Doing"),"")</f>
        <v/>
      </c>
      <c r="N95">
        <f>IF(AND($B95&lt;&gt;"",$F95="Done"),COUNTIFS($B$2:$B95,"&lt;&gt;",$F$2:$F95,"Done"),"")</f>
        <v/>
      </c>
      <c r="O95">
        <f>IF($B95="","",$B95&amp;"  |  "&amp;IF($D95="","담당자 미지정",$D95)&amp;IF($H95="",""," · ~"&amp;TEXT($H95,"m/d"))&amp;IF($E95="높음"," 🔺","")&amp;IF(AND($F95&lt;&gt;"Done",$H95&lt;&gt;"",$H95&lt;TODAY())," ⚠",""))</f>
        <v/>
      </c>
    </row>
    <row r="96">
      <c r="A96" s="33">
        <f>IF($B96="","",COUNTA($B$2:$B96))</f>
        <v/>
      </c>
      <c r="B96" s="34" t="n"/>
      <c r="C96" s="34" t="n"/>
      <c r="D96" s="33" t="n"/>
      <c r="E96" s="33" t="n"/>
      <c r="F96" s="33" t="n"/>
      <c r="G96" s="35" t="n"/>
      <c r="H96" s="35" t="n"/>
      <c r="I96" s="36" t="n"/>
      <c r="J96" s="33">
        <f>IF($B96="","",IF($F96="Done","✔ 완료",IF($H96="","—",IF($H96&lt;TODAY(),"⚠ "&amp;(TODAY()-$H96)&amp;"일 지연",IF($H96=TODAY(),"🔔 오늘 마감","D-"&amp;($H96-TODAY()))))))</f>
        <v/>
      </c>
      <c r="K96" s="34" t="n"/>
      <c r="L96">
        <f>IF(AND($B96&lt;&gt;"",$F96="To Do"),COUNTIFS($B$2:$B96,"&lt;&gt;",$F$2:$F96,"To Do"),"")</f>
        <v/>
      </c>
      <c r="M96">
        <f>IF(AND($B96&lt;&gt;"",$F96="Doing"),COUNTIFS($B$2:$B96,"&lt;&gt;",$F$2:$F96,"Doing"),"")</f>
        <v/>
      </c>
      <c r="N96">
        <f>IF(AND($B96&lt;&gt;"",$F96="Done"),COUNTIFS($B$2:$B96,"&lt;&gt;",$F$2:$F96,"Done"),"")</f>
        <v/>
      </c>
      <c r="O96">
        <f>IF($B96="","",$B96&amp;"  |  "&amp;IF($D96="","담당자 미지정",$D96)&amp;IF($H96="",""," · ~"&amp;TEXT($H96,"m/d"))&amp;IF($E96="높음"," 🔺","")&amp;IF(AND($F96&lt;&gt;"Done",$H96&lt;&gt;"",$H96&lt;TODAY())," ⚠",""))</f>
        <v/>
      </c>
    </row>
    <row r="97">
      <c r="A97" s="33">
        <f>IF($B97="","",COUNTA($B$2:$B97))</f>
        <v/>
      </c>
      <c r="B97" s="34" t="n"/>
      <c r="C97" s="34" t="n"/>
      <c r="D97" s="33" t="n"/>
      <c r="E97" s="33" t="n"/>
      <c r="F97" s="33" t="n"/>
      <c r="G97" s="35" t="n"/>
      <c r="H97" s="35" t="n"/>
      <c r="I97" s="36" t="n"/>
      <c r="J97" s="33">
        <f>IF($B97="","",IF($F97="Done","✔ 완료",IF($H97="","—",IF($H97&lt;TODAY(),"⚠ "&amp;(TODAY()-$H97)&amp;"일 지연",IF($H97=TODAY(),"🔔 오늘 마감","D-"&amp;($H97-TODAY()))))))</f>
        <v/>
      </c>
      <c r="K97" s="34" t="n"/>
      <c r="L97">
        <f>IF(AND($B97&lt;&gt;"",$F97="To Do"),COUNTIFS($B$2:$B97,"&lt;&gt;",$F$2:$F97,"To Do"),"")</f>
        <v/>
      </c>
      <c r="M97">
        <f>IF(AND($B97&lt;&gt;"",$F97="Doing"),COUNTIFS($B$2:$B97,"&lt;&gt;",$F$2:$F97,"Doing"),"")</f>
        <v/>
      </c>
      <c r="N97">
        <f>IF(AND($B97&lt;&gt;"",$F97="Done"),COUNTIFS($B$2:$B97,"&lt;&gt;",$F$2:$F97,"Done"),"")</f>
        <v/>
      </c>
      <c r="O97">
        <f>IF($B97="","",$B97&amp;"  |  "&amp;IF($D97="","담당자 미지정",$D97)&amp;IF($H97="",""," · ~"&amp;TEXT($H97,"m/d"))&amp;IF($E97="높음"," 🔺","")&amp;IF(AND($F97&lt;&gt;"Done",$H97&lt;&gt;"",$H97&lt;TODAY())," ⚠",""))</f>
        <v/>
      </c>
    </row>
    <row r="98">
      <c r="A98" s="33">
        <f>IF($B98="","",COUNTA($B$2:$B98))</f>
        <v/>
      </c>
      <c r="B98" s="34" t="n"/>
      <c r="C98" s="34" t="n"/>
      <c r="D98" s="33" t="n"/>
      <c r="E98" s="33" t="n"/>
      <c r="F98" s="33" t="n"/>
      <c r="G98" s="35" t="n"/>
      <c r="H98" s="35" t="n"/>
      <c r="I98" s="36" t="n"/>
      <c r="J98" s="33">
        <f>IF($B98="","",IF($F98="Done","✔ 완료",IF($H98="","—",IF($H98&lt;TODAY(),"⚠ "&amp;(TODAY()-$H98)&amp;"일 지연",IF($H98=TODAY(),"🔔 오늘 마감","D-"&amp;($H98-TODAY()))))))</f>
        <v/>
      </c>
      <c r="K98" s="34" t="n"/>
      <c r="L98">
        <f>IF(AND($B98&lt;&gt;"",$F98="To Do"),COUNTIFS($B$2:$B98,"&lt;&gt;",$F$2:$F98,"To Do"),"")</f>
        <v/>
      </c>
      <c r="M98">
        <f>IF(AND($B98&lt;&gt;"",$F98="Doing"),COUNTIFS($B$2:$B98,"&lt;&gt;",$F$2:$F98,"Doing"),"")</f>
        <v/>
      </c>
      <c r="N98">
        <f>IF(AND($B98&lt;&gt;"",$F98="Done"),COUNTIFS($B$2:$B98,"&lt;&gt;",$F$2:$F98,"Done"),"")</f>
        <v/>
      </c>
      <c r="O98">
        <f>IF($B98="","",$B98&amp;"  |  "&amp;IF($D98="","담당자 미지정",$D98)&amp;IF($H98="",""," · ~"&amp;TEXT($H98,"m/d"))&amp;IF($E98="높음"," 🔺","")&amp;IF(AND($F98&lt;&gt;"Done",$H98&lt;&gt;"",$H98&lt;TODAY())," ⚠",""))</f>
        <v/>
      </c>
    </row>
    <row r="99">
      <c r="A99" s="33">
        <f>IF($B99="","",COUNTA($B$2:$B99))</f>
        <v/>
      </c>
      <c r="B99" s="34" t="n"/>
      <c r="C99" s="34" t="n"/>
      <c r="D99" s="33" t="n"/>
      <c r="E99" s="33" t="n"/>
      <c r="F99" s="33" t="n"/>
      <c r="G99" s="35" t="n"/>
      <c r="H99" s="35" t="n"/>
      <c r="I99" s="36" t="n"/>
      <c r="J99" s="33">
        <f>IF($B99="","",IF($F99="Done","✔ 완료",IF($H99="","—",IF($H99&lt;TODAY(),"⚠ "&amp;(TODAY()-$H99)&amp;"일 지연",IF($H99=TODAY(),"🔔 오늘 마감","D-"&amp;($H99-TODAY()))))))</f>
        <v/>
      </c>
      <c r="K99" s="34" t="n"/>
      <c r="L99">
        <f>IF(AND($B99&lt;&gt;"",$F99="To Do"),COUNTIFS($B$2:$B99,"&lt;&gt;",$F$2:$F99,"To Do"),"")</f>
        <v/>
      </c>
      <c r="M99">
        <f>IF(AND($B99&lt;&gt;"",$F99="Doing"),COUNTIFS($B$2:$B99,"&lt;&gt;",$F$2:$F99,"Doing"),"")</f>
        <v/>
      </c>
      <c r="N99">
        <f>IF(AND($B99&lt;&gt;"",$F99="Done"),COUNTIFS($B$2:$B99,"&lt;&gt;",$F$2:$F99,"Done"),"")</f>
        <v/>
      </c>
      <c r="O99">
        <f>IF($B99="","",$B99&amp;"  |  "&amp;IF($D99="","담당자 미지정",$D99)&amp;IF($H99="",""," · ~"&amp;TEXT($H99,"m/d"))&amp;IF($E99="높음"," 🔺","")&amp;IF(AND($F99&lt;&gt;"Done",$H99&lt;&gt;"",$H99&lt;TODAY())," ⚠",""))</f>
        <v/>
      </c>
    </row>
    <row r="100">
      <c r="A100" s="33">
        <f>IF($B100="","",COUNTA($B$2:$B100))</f>
        <v/>
      </c>
      <c r="B100" s="34" t="n"/>
      <c r="C100" s="34" t="n"/>
      <c r="D100" s="33" t="n"/>
      <c r="E100" s="33" t="n"/>
      <c r="F100" s="33" t="n"/>
      <c r="G100" s="35" t="n"/>
      <c r="H100" s="35" t="n"/>
      <c r="I100" s="36" t="n"/>
      <c r="J100" s="33">
        <f>IF($B100="","",IF($F100="Done","✔ 완료",IF($H100="","—",IF($H100&lt;TODAY(),"⚠ "&amp;(TODAY()-$H100)&amp;"일 지연",IF($H100=TODAY(),"🔔 오늘 마감","D-"&amp;($H100-TODAY()))))))</f>
        <v/>
      </c>
      <c r="K100" s="34" t="n"/>
      <c r="L100">
        <f>IF(AND($B100&lt;&gt;"",$F100="To Do"),COUNTIFS($B$2:$B100,"&lt;&gt;",$F$2:$F100,"To Do"),"")</f>
        <v/>
      </c>
      <c r="M100">
        <f>IF(AND($B100&lt;&gt;"",$F100="Doing"),COUNTIFS($B$2:$B100,"&lt;&gt;",$F$2:$F100,"Doing"),"")</f>
        <v/>
      </c>
      <c r="N100">
        <f>IF(AND($B100&lt;&gt;"",$F100="Done"),COUNTIFS($B$2:$B100,"&lt;&gt;",$F$2:$F100,"Done"),"")</f>
        <v/>
      </c>
      <c r="O100">
        <f>IF($B100="","",$B100&amp;"  |  "&amp;IF($D100="","담당자 미지정",$D100)&amp;IF($H100="",""," · ~"&amp;TEXT($H100,"m/d"))&amp;IF($E100="높음"," 🔺","")&amp;IF(AND($F100&lt;&gt;"Done",$H100&lt;&gt;"",$H100&lt;TODAY())," ⚠",""))</f>
        <v/>
      </c>
    </row>
    <row r="101">
      <c r="A101" s="33">
        <f>IF($B101="","",COUNTA($B$2:$B101))</f>
        <v/>
      </c>
      <c r="B101" s="34" t="n"/>
      <c r="C101" s="34" t="n"/>
      <c r="D101" s="33" t="n"/>
      <c r="E101" s="33" t="n"/>
      <c r="F101" s="33" t="n"/>
      <c r="G101" s="35" t="n"/>
      <c r="H101" s="35" t="n"/>
      <c r="I101" s="36" t="n"/>
      <c r="J101" s="33">
        <f>IF($B101="","",IF($F101="Done","✔ 완료",IF($H101="","—",IF($H101&lt;TODAY(),"⚠ "&amp;(TODAY()-$H101)&amp;"일 지연",IF($H101=TODAY(),"🔔 오늘 마감","D-"&amp;($H101-TODAY()))))))</f>
        <v/>
      </c>
      <c r="K101" s="34" t="n"/>
      <c r="L101">
        <f>IF(AND($B101&lt;&gt;"",$F101="To Do"),COUNTIFS($B$2:$B101,"&lt;&gt;",$F$2:$F101,"To Do"),"")</f>
        <v/>
      </c>
      <c r="M101">
        <f>IF(AND($B101&lt;&gt;"",$F101="Doing"),COUNTIFS($B$2:$B101,"&lt;&gt;",$F$2:$F101,"Doing"),"")</f>
        <v/>
      </c>
      <c r="N101">
        <f>IF(AND($B101&lt;&gt;"",$F101="Done"),COUNTIFS($B$2:$B101,"&lt;&gt;",$F$2:$F101,"Done"),"")</f>
        <v/>
      </c>
      <c r="O101">
        <f>IF($B101="","",$B101&amp;"  |  "&amp;IF($D101="","담당자 미지정",$D101)&amp;IF($H101="",""," · ~"&amp;TEXT($H101,"m/d"))&amp;IF($E101="높음"," 🔺","")&amp;IF(AND($F101&lt;&gt;"Done",$H101&lt;&gt;"",$H101&lt;TODAY())," ⚠",""))</f>
        <v/>
      </c>
    </row>
    <row r="102">
      <c r="A102" s="33">
        <f>IF($B102="","",COUNTA($B$2:$B102))</f>
        <v/>
      </c>
      <c r="B102" s="34" t="n"/>
      <c r="C102" s="34" t="n"/>
      <c r="D102" s="33" t="n"/>
      <c r="E102" s="33" t="n"/>
      <c r="F102" s="33" t="n"/>
      <c r="G102" s="35" t="n"/>
      <c r="H102" s="35" t="n"/>
      <c r="I102" s="36" t="n"/>
      <c r="J102" s="33">
        <f>IF($B102="","",IF($F102="Done","✔ 완료",IF($H102="","—",IF($H102&lt;TODAY(),"⚠ "&amp;(TODAY()-$H102)&amp;"일 지연",IF($H102=TODAY(),"🔔 오늘 마감","D-"&amp;($H102-TODAY()))))))</f>
        <v/>
      </c>
      <c r="K102" s="34" t="n"/>
      <c r="L102">
        <f>IF(AND($B102&lt;&gt;"",$F102="To Do"),COUNTIFS($B$2:$B102,"&lt;&gt;",$F$2:$F102,"To Do"),"")</f>
        <v/>
      </c>
      <c r="M102">
        <f>IF(AND($B102&lt;&gt;"",$F102="Doing"),COUNTIFS($B$2:$B102,"&lt;&gt;",$F$2:$F102,"Doing"),"")</f>
        <v/>
      </c>
      <c r="N102">
        <f>IF(AND($B102&lt;&gt;"",$F102="Done"),COUNTIFS($B$2:$B102,"&lt;&gt;",$F$2:$F102,"Done"),"")</f>
        <v/>
      </c>
      <c r="O102">
        <f>IF($B102="","",$B102&amp;"  |  "&amp;IF($D102="","담당자 미지정",$D102)&amp;IF($H102="",""," · ~"&amp;TEXT($H102,"m/d"))&amp;IF($E102="높음"," 🔺","")&amp;IF(AND($F102&lt;&gt;"Done",$H102&lt;&gt;"",$H102&lt;TODAY())," ⚠",""))</f>
        <v/>
      </c>
    </row>
    <row r="103">
      <c r="A103" s="33">
        <f>IF($B103="","",COUNTA($B$2:$B103))</f>
        <v/>
      </c>
      <c r="B103" s="34" t="n"/>
      <c r="C103" s="34" t="n"/>
      <c r="D103" s="33" t="n"/>
      <c r="E103" s="33" t="n"/>
      <c r="F103" s="33" t="n"/>
      <c r="G103" s="35" t="n"/>
      <c r="H103" s="35" t="n"/>
      <c r="I103" s="36" t="n"/>
      <c r="J103" s="33">
        <f>IF($B103="","",IF($F103="Done","✔ 완료",IF($H103="","—",IF($H103&lt;TODAY(),"⚠ "&amp;(TODAY()-$H103)&amp;"일 지연",IF($H103=TODAY(),"🔔 오늘 마감","D-"&amp;($H103-TODAY()))))))</f>
        <v/>
      </c>
      <c r="K103" s="34" t="n"/>
      <c r="L103">
        <f>IF(AND($B103&lt;&gt;"",$F103="To Do"),COUNTIFS($B$2:$B103,"&lt;&gt;",$F$2:$F103,"To Do"),"")</f>
        <v/>
      </c>
      <c r="M103">
        <f>IF(AND($B103&lt;&gt;"",$F103="Doing"),COUNTIFS($B$2:$B103,"&lt;&gt;",$F$2:$F103,"Doing"),"")</f>
        <v/>
      </c>
      <c r="N103">
        <f>IF(AND($B103&lt;&gt;"",$F103="Done"),COUNTIFS($B$2:$B103,"&lt;&gt;",$F$2:$F103,"Done"),"")</f>
        <v/>
      </c>
      <c r="O103">
        <f>IF($B103="","",$B103&amp;"  |  "&amp;IF($D103="","담당자 미지정",$D103)&amp;IF($H103="",""," · ~"&amp;TEXT($H103,"m/d"))&amp;IF($E103="높음"," 🔺","")&amp;IF(AND($F103&lt;&gt;"Done",$H103&lt;&gt;"",$H103&lt;TODAY())," ⚠",""))</f>
        <v/>
      </c>
    </row>
    <row r="104">
      <c r="A104" s="33">
        <f>IF($B104="","",COUNTA($B$2:$B104))</f>
        <v/>
      </c>
      <c r="B104" s="34" t="n"/>
      <c r="C104" s="34" t="n"/>
      <c r="D104" s="33" t="n"/>
      <c r="E104" s="33" t="n"/>
      <c r="F104" s="33" t="n"/>
      <c r="G104" s="35" t="n"/>
      <c r="H104" s="35" t="n"/>
      <c r="I104" s="36" t="n"/>
      <c r="J104" s="33">
        <f>IF($B104="","",IF($F104="Done","✔ 완료",IF($H104="","—",IF($H104&lt;TODAY(),"⚠ "&amp;(TODAY()-$H104)&amp;"일 지연",IF($H104=TODAY(),"🔔 오늘 마감","D-"&amp;($H104-TODAY()))))))</f>
        <v/>
      </c>
      <c r="K104" s="34" t="n"/>
      <c r="L104">
        <f>IF(AND($B104&lt;&gt;"",$F104="To Do"),COUNTIFS($B$2:$B104,"&lt;&gt;",$F$2:$F104,"To Do"),"")</f>
        <v/>
      </c>
      <c r="M104">
        <f>IF(AND($B104&lt;&gt;"",$F104="Doing"),COUNTIFS($B$2:$B104,"&lt;&gt;",$F$2:$F104,"Doing"),"")</f>
        <v/>
      </c>
      <c r="N104">
        <f>IF(AND($B104&lt;&gt;"",$F104="Done"),COUNTIFS($B$2:$B104,"&lt;&gt;",$F$2:$F104,"Done"),"")</f>
        <v/>
      </c>
      <c r="O104">
        <f>IF($B104="","",$B104&amp;"  |  "&amp;IF($D104="","담당자 미지정",$D104)&amp;IF($H104="",""," · ~"&amp;TEXT($H104,"m/d"))&amp;IF($E104="높음"," 🔺","")&amp;IF(AND($F104&lt;&gt;"Done",$H104&lt;&gt;"",$H104&lt;TODAY())," ⚠",""))</f>
        <v/>
      </c>
    </row>
    <row r="105">
      <c r="A105" s="33">
        <f>IF($B105="","",COUNTA($B$2:$B105))</f>
        <v/>
      </c>
      <c r="B105" s="34" t="n"/>
      <c r="C105" s="34" t="n"/>
      <c r="D105" s="33" t="n"/>
      <c r="E105" s="33" t="n"/>
      <c r="F105" s="33" t="n"/>
      <c r="G105" s="35" t="n"/>
      <c r="H105" s="35" t="n"/>
      <c r="I105" s="36" t="n"/>
      <c r="J105" s="33">
        <f>IF($B105="","",IF($F105="Done","✔ 완료",IF($H105="","—",IF($H105&lt;TODAY(),"⚠ "&amp;(TODAY()-$H105)&amp;"일 지연",IF($H105=TODAY(),"🔔 오늘 마감","D-"&amp;($H105-TODAY()))))))</f>
        <v/>
      </c>
      <c r="K105" s="34" t="n"/>
      <c r="L105">
        <f>IF(AND($B105&lt;&gt;"",$F105="To Do"),COUNTIFS($B$2:$B105,"&lt;&gt;",$F$2:$F105,"To Do"),"")</f>
        <v/>
      </c>
      <c r="M105">
        <f>IF(AND($B105&lt;&gt;"",$F105="Doing"),COUNTIFS($B$2:$B105,"&lt;&gt;",$F$2:$F105,"Doing"),"")</f>
        <v/>
      </c>
      <c r="N105">
        <f>IF(AND($B105&lt;&gt;"",$F105="Done"),COUNTIFS($B$2:$B105,"&lt;&gt;",$F$2:$F105,"Done"),"")</f>
        <v/>
      </c>
      <c r="O105">
        <f>IF($B105="","",$B105&amp;"  |  "&amp;IF($D105="","담당자 미지정",$D105)&amp;IF($H105="",""," · ~"&amp;TEXT($H105,"m/d"))&amp;IF($E105="높음"," 🔺","")&amp;IF(AND($F105&lt;&gt;"Done",$H105&lt;&gt;"",$H105&lt;TODAY())," ⚠",""))</f>
        <v/>
      </c>
    </row>
    <row r="106">
      <c r="A106" s="33">
        <f>IF($B106="","",COUNTA($B$2:$B106))</f>
        <v/>
      </c>
      <c r="B106" s="34" t="n"/>
      <c r="C106" s="34" t="n"/>
      <c r="D106" s="33" t="n"/>
      <c r="E106" s="33" t="n"/>
      <c r="F106" s="33" t="n"/>
      <c r="G106" s="35" t="n"/>
      <c r="H106" s="35" t="n"/>
      <c r="I106" s="36" t="n"/>
      <c r="J106" s="33">
        <f>IF($B106="","",IF($F106="Done","✔ 완료",IF($H106="","—",IF($H106&lt;TODAY(),"⚠ "&amp;(TODAY()-$H106)&amp;"일 지연",IF($H106=TODAY(),"🔔 오늘 마감","D-"&amp;($H106-TODAY()))))))</f>
        <v/>
      </c>
      <c r="K106" s="34" t="n"/>
      <c r="L106">
        <f>IF(AND($B106&lt;&gt;"",$F106="To Do"),COUNTIFS($B$2:$B106,"&lt;&gt;",$F$2:$F106,"To Do"),"")</f>
        <v/>
      </c>
      <c r="M106">
        <f>IF(AND($B106&lt;&gt;"",$F106="Doing"),COUNTIFS($B$2:$B106,"&lt;&gt;",$F$2:$F106,"Doing"),"")</f>
        <v/>
      </c>
      <c r="N106">
        <f>IF(AND($B106&lt;&gt;"",$F106="Done"),COUNTIFS($B$2:$B106,"&lt;&gt;",$F$2:$F106,"Done"),"")</f>
        <v/>
      </c>
      <c r="O106">
        <f>IF($B106="","",$B106&amp;"  |  "&amp;IF($D106="","담당자 미지정",$D106)&amp;IF($H106="",""," · ~"&amp;TEXT($H106,"m/d"))&amp;IF($E106="높음"," 🔺","")&amp;IF(AND($F106&lt;&gt;"Done",$H106&lt;&gt;"",$H106&lt;TODAY())," ⚠",""))</f>
        <v/>
      </c>
    </row>
    <row r="107">
      <c r="A107" s="33">
        <f>IF($B107="","",COUNTA($B$2:$B107))</f>
        <v/>
      </c>
      <c r="B107" s="34" t="n"/>
      <c r="C107" s="34" t="n"/>
      <c r="D107" s="33" t="n"/>
      <c r="E107" s="33" t="n"/>
      <c r="F107" s="33" t="n"/>
      <c r="G107" s="35" t="n"/>
      <c r="H107" s="35" t="n"/>
      <c r="I107" s="36" t="n"/>
      <c r="J107" s="33">
        <f>IF($B107="","",IF($F107="Done","✔ 완료",IF($H107="","—",IF($H107&lt;TODAY(),"⚠ "&amp;(TODAY()-$H107)&amp;"일 지연",IF($H107=TODAY(),"🔔 오늘 마감","D-"&amp;($H107-TODAY()))))))</f>
        <v/>
      </c>
      <c r="K107" s="34" t="n"/>
      <c r="L107">
        <f>IF(AND($B107&lt;&gt;"",$F107="To Do"),COUNTIFS($B$2:$B107,"&lt;&gt;",$F$2:$F107,"To Do"),"")</f>
        <v/>
      </c>
      <c r="M107">
        <f>IF(AND($B107&lt;&gt;"",$F107="Doing"),COUNTIFS($B$2:$B107,"&lt;&gt;",$F$2:$F107,"Doing"),"")</f>
        <v/>
      </c>
      <c r="N107">
        <f>IF(AND($B107&lt;&gt;"",$F107="Done"),COUNTIFS($B$2:$B107,"&lt;&gt;",$F$2:$F107,"Done"),"")</f>
        <v/>
      </c>
      <c r="O107">
        <f>IF($B107="","",$B107&amp;"  |  "&amp;IF($D107="","담당자 미지정",$D107)&amp;IF($H107="",""," · ~"&amp;TEXT($H107,"m/d"))&amp;IF($E107="높음"," 🔺","")&amp;IF(AND($F107&lt;&gt;"Done",$H107&lt;&gt;"",$H107&lt;TODAY())," ⚠",""))</f>
        <v/>
      </c>
    </row>
    <row r="108">
      <c r="A108" s="33">
        <f>IF($B108="","",COUNTA($B$2:$B108))</f>
        <v/>
      </c>
      <c r="B108" s="34" t="n"/>
      <c r="C108" s="34" t="n"/>
      <c r="D108" s="33" t="n"/>
      <c r="E108" s="33" t="n"/>
      <c r="F108" s="33" t="n"/>
      <c r="G108" s="35" t="n"/>
      <c r="H108" s="35" t="n"/>
      <c r="I108" s="36" t="n"/>
      <c r="J108" s="33">
        <f>IF($B108="","",IF($F108="Done","✔ 완료",IF($H108="","—",IF($H108&lt;TODAY(),"⚠ "&amp;(TODAY()-$H108)&amp;"일 지연",IF($H108=TODAY(),"🔔 오늘 마감","D-"&amp;($H108-TODAY()))))))</f>
        <v/>
      </c>
      <c r="K108" s="34" t="n"/>
      <c r="L108">
        <f>IF(AND($B108&lt;&gt;"",$F108="To Do"),COUNTIFS($B$2:$B108,"&lt;&gt;",$F$2:$F108,"To Do"),"")</f>
        <v/>
      </c>
      <c r="M108">
        <f>IF(AND($B108&lt;&gt;"",$F108="Doing"),COUNTIFS($B$2:$B108,"&lt;&gt;",$F$2:$F108,"Doing"),"")</f>
        <v/>
      </c>
      <c r="N108">
        <f>IF(AND($B108&lt;&gt;"",$F108="Done"),COUNTIFS($B$2:$B108,"&lt;&gt;",$F$2:$F108,"Done"),"")</f>
        <v/>
      </c>
      <c r="O108">
        <f>IF($B108="","",$B108&amp;"  |  "&amp;IF($D108="","담당자 미지정",$D108)&amp;IF($H108="",""," · ~"&amp;TEXT($H108,"m/d"))&amp;IF($E108="높음"," 🔺","")&amp;IF(AND($F108&lt;&gt;"Done",$H108&lt;&gt;"",$H108&lt;TODAY())," ⚠",""))</f>
        <v/>
      </c>
    </row>
    <row r="109">
      <c r="A109" s="33">
        <f>IF($B109="","",COUNTA($B$2:$B109))</f>
        <v/>
      </c>
      <c r="B109" s="34" t="n"/>
      <c r="C109" s="34" t="n"/>
      <c r="D109" s="33" t="n"/>
      <c r="E109" s="33" t="n"/>
      <c r="F109" s="33" t="n"/>
      <c r="G109" s="35" t="n"/>
      <c r="H109" s="35" t="n"/>
      <c r="I109" s="36" t="n"/>
      <c r="J109" s="33">
        <f>IF($B109="","",IF($F109="Done","✔ 완료",IF($H109="","—",IF($H109&lt;TODAY(),"⚠ "&amp;(TODAY()-$H109)&amp;"일 지연",IF($H109=TODAY(),"🔔 오늘 마감","D-"&amp;($H109-TODAY()))))))</f>
        <v/>
      </c>
      <c r="K109" s="34" t="n"/>
      <c r="L109">
        <f>IF(AND($B109&lt;&gt;"",$F109="To Do"),COUNTIFS($B$2:$B109,"&lt;&gt;",$F$2:$F109,"To Do"),"")</f>
        <v/>
      </c>
      <c r="M109">
        <f>IF(AND($B109&lt;&gt;"",$F109="Doing"),COUNTIFS($B$2:$B109,"&lt;&gt;",$F$2:$F109,"Doing"),"")</f>
        <v/>
      </c>
      <c r="N109">
        <f>IF(AND($B109&lt;&gt;"",$F109="Done"),COUNTIFS($B$2:$B109,"&lt;&gt;",$F$2:$F109,"Done"),"")</f>
        <v/>
      </c>
      <c r="O109">
        <f>IF($B109="","",$B109&amp;"  |  "&amp;IF($D109="","담당자 미지정",$D109)&amp;IF($H109="",""," · ~"&amp;TEXT($H109,"m/d"))&amp;IF($E109="높음"," 🔺","")&amp;IF(AND($F109&lt;&gt;"Done",$H109&lt;&gt;"",$H109&lt;TODAY())," ⚠",""))</f>
        <v/>
      </c>
    </row>
    <row r="110">
      <c r="A110" s="33">
        <f>IF($B110="","",COUNTA($B$2:$B110))</f>
        <v/>
      </c>
      <c r="B110" s="34" t="n"/>
      <c r="C110" s="34" t="n"/>
      <c r="D110" s="33" t="n"/>
      <c r="E110" s="33" t="n"/>
      <c r="F110" s="33" t="n"/>
      <c r="G110" s="35" t="n"/>
      <c r="H110" s="35" t="n"/>
      <c r="I110" s="36" t="n"/>
      <c r="J110" s="33">
        <f>IF($B110="","",IF($F110="Done","✔ 완료",IF($H110="","—",IF($H110&lt;TODAY(),"⚠ "&amp;(TODAY()-$H110)&amp;"일 지연",IF($H110=TODAY(),"🔔 오늘 마감","D-"&amp;($H110-TODAY()))))))</f>
        <v/>
      </c>
      <c r="K110" s="34" t="n"/>
      <c r="L110">
        <f>IF(AND($B110&lt;&gt;"",$F110="To Do"),COUNTIFS($B$2:$B110,"&lt;&gt;",$F$2:$F110,"To Do"),"")</f>
        <v/>
      </c>
      <c r="M110">
        <f>IF(AND($B110&lt;&gt;"",$F110="Doing"),COUNTIFS($B$2:$B110,"&lt;&gt;",$F$2:$F110,"Doing"),"")</f>
        <v/>
      </c>
      <c r="N110">
        <f>IF(AND($B110&lt;&gt;"",$F110="Done"),COUNTIFS($B$2:$B110,"&lt;&gt;",$F$2:$F110,"Done"),"")</f>
        <v/>
      </c>
      <c r="O110">
        <f>IF($B110="","",$B110&amp;"  |  "&amp;IF($D110="","담당자 미지정",$D110)&amp;IF($H110="",""," · ~"&amp;TEXT($H110,"m/d"))&amp;IF($E110="높음"," 🔺","")&amp;IF(AND($F110&lt;&gt;"Done",$H110&lt;&gt;"",$H110&lt;TODAY())," ⚠",""))</f>
        <v/>
      </c>
    </row>
    <row r="111">
      <c r="A111" s="33">
        <f>IF($B111="","",COUNTA($B$2:$B111))</f>
        <v/>
      </c>
      <c r="B111" s="34" t="n"/>
      <c r="C111" s="34" t="n"/>
      <c r="D111" s="33" t="n"/>
      <c r="E111" s="33" t="n"/>
      <c r="F111" s="33" t="n"/>
      <c r="G111" s="35" t="n"/>
      <c r="H111" s="35" t="n"/>
      <c r="I111" s="36" t="n"/>
      <c r="J111" s="33">
        <f>IF($B111="","",IF($F111="Done","✔ 완료",IF($H111="","—",IF($H111&lt;TODAY(),"⚠ "&amp;(TODAY()-$H111)&amp;"일 지연",IF($H111=TODAY(),"🔔 오늘 마감","D-"&amp;($H111-TODAY()))))))</f>
        <v/>
      </c>
      <c r="K111" s="34" t="n"/>
      <c r="L111">
        <f>IF(AND($B111&lt;&gt;"",$F111="To Do"),COUNTIFS($B$2:$B111,"&lt;&gt;",$F$2:$F111,"To Do"),"")</f>
        <v/>
      </c>
      <c r="M111">
        <f>IF(AND($B111&lt;&gt;"",$F111="Doing"),COUNTIFS($B$2:$B111,"&lt;&gt;",$F$2:$F111,"Doing"),"")</f>
        <v/>
      </c>
      <c r="N111">
        <f>IF(AND($B111&lt;&gt;"",$F111="Done"),COUNTIFS($B$2:$B111,"&lt;&gt;",$F$2:$F111,"Done"),"")</f>
        <v/>
      </c>
      <c r="O111">
        <f>IF($B111="","",$B111&amp;"  |  "&amp;IF($D111="","담당자 미지정",$D111)&amp;IF($H111="",""," · ~"&amp;TEXT($H111,"m/d"))&amp;IF($E111="높음"," 🔺","")&amp;IF(AND($F111&lt;&gt;"Done",$H111&lt;&gt;"",$H111&lt;TODAY())," ⚠",""))</f>
        <v/>
      </c>
    </row>
    <row r="112">
      <c r="A112" s="33">
        <f>IF($B112="","",COUNTA($B$2:$B112))</f>
        <v/>
      </c>
      <c r="B112" s="34" t="n"/>
      <c r="C112" s="34" t="n"/>
      <c r="D112" s="33" t="n"/>
      <c r="E112" s="33" t="n"/>
      <c r="F112" s="33" t="n"/>
      <c r="G112" s="35" t="n"/>
      <c r="H112" s="35" t="n"/>
      <c r="I112" s="36" t="n"/>
      <c r="J112" s="33">
        <f>IF($B112="","",IF($F112="Done","✔ 완료",IF($H112="","—",IF($H112&lt;TODAY(),"⚠ "&amp;(TODAY()-$H112)&amp;"일 지연",IF($H112=TODAY(),"🔔 오늘 마감","D-"&amp;($H112-TODAY()))))))</f>
        <v/>
      </c>
      <c r="K112" s="34" t="n"/>
      <c r="L112">
        <f>IF(AND($B112&lt;&gt;"",$F112="To Do"),COUNTIFS($B$2:$B112,"&lt;&gt;",$F$2:$F112,"To Do"),"")</f>
        <v/>
      </c>
      <c r="M112">
        <f>IF(AND($B112&lt;&gt;"",$F112="Doing"),COUNTIFS($B$2:$B112,"&lt;&gt;",$F$2:$F112,"Doing"),"")</f>
        <v/>
      </c>
      <c r="N112">
        <f>IF(AND($B112&lt;&gt;"",$F112="Done"),COUNTIFS($B$2:$B112,"&lt;&gt;",$F$2:$F112,"Done"),"")</f>
        <v/>
      </c>
      <c r="O112">
        <f>IF($B112="","",$B112&amp;"  |  "&amp;IF($D112="","담당자 미지정",$D112)&amp;IF($H112="",""," · ~"&amp;TEXT($H112,"m/d"))&amp;IF($E112="높음"," 🔺","")&amp;IF(AND($F112&lt;&gt;"Done",$H112&lt;&gt;"",$H112&lt;TODAY())," ⚠",""))</f>
        <v/>
      </c>
    </row>
    <row r="113">
      <c r="A113" s="33">
        <f>IF($B113="","",COUNTA($B$2:$B113))</f>
        <v/>
      </c>
      <c r="B113" s="34" t="n"/>
      <c r="C113" s="34" t="n"/>
      <c r="D113" s="33" t="n"/>
      <c r="E113" s="33" t="n"/>
      <c r="F113" s="33" t="n"/>
      <c r="G113" s="35" t="n"/>
      <c r="H113" s="35" t="n"/>
      <c r="I113" s="36" t="n"/>
      <c r="J113" s="33">
        <f>IF($B113="","",IF($F113="Done","✔ 완료",IF($H113="","—",IF($H113&lt;TODAY(),"⚠ "&amp;(TODAY()-$H113)&amp;"일 지연",IF($H113=TODAY(),"🔔 오늘 마감","D-"&amp;($H113-TODAY()))))))</f>
        <v/>
      </c>
      <c r="K113" s="34" t="n"/>
      <c r="L113">
        <f>IF(AND($B113&lt;&gt;"",$F113="To Do"),COUNTIFS($B$2:$B113,"&lt;&gt;",$F$2:$F113,"To Do"),"")</f>
        <v/>
      </c>
      <c r="M113">
        <f>IF(AND($B113&lt;&gt;"",$F113="Doing"),COUNTIFS($B$2:$B113,"&lt;&gt;",$F$2:$F113,"Doing"),"")</f>
        <v/>
      </c>
      <c r="N113">
        <f>IF(AND($B113&lt;&gt;"",$F113="Done"),COUNTIFS($B$2:$B113,"&lt;&gt;",$F$2:$F113,"Done"),"")</f>
        <v/>
      </c>
      <c r="O113">
        <f>IF($B113="","",$B113&amp;"  |  "&amp;IF($D113="","담당자 미지정",$D113)&amp;IF($H113="",""," · ~"&amp;TEXT($H113,"m/d"))&amp;IF($E113="높음"," 🔺","")&amp;IF(AND($F113&lt;&gt;"Done",$H113&lt;&gt;"",$H113&lt;TODAY())," ⚠",""))</f>
        <v/>
      </c>
    </row>
    <row r="114">
      <c r="A114" s="33">
        <f>IF($B114="","",COUNTA($B$2:$B114))</f>
        <v/>
      </c>
      <c r="B114" s="34" t="n"/>
      <c r="C114" s="34" t="n"/>
      <c r="D114" s="33" t="n"/>
      <c r="E114" s="33" t="n"/>
      <c r="F114" s="33" t="n"/>
      <c r="G114" s="35" t="n"/>
      <c r="H114" s="35" t="n"/>
      <c r="I114" s="36" t="n"/>
      <c r="J114" s="33">
        <f>IF($B114="","",IF($F114="Done","✔ 완료",IF($H114="","—",IF($H114&lt;TODAY(),"⚠ "&amp;(TODAY()-$H114)&amp;"일 지연",IF($H114=TODAY(),"🔔 오늘 마감","D-"&amp;($H114-TODAY()))))))</f>
        <v/>
      </c>
      <c r="K114" s="34" t="n"/>
      <c r="L114">
        <f>IF(AND($B114&lt;&gt;"",$F114="To Do"),COUNTIFS($B$2:$B114,"&lt;&gt;",$F$2:$F114,"To Do"),"")</f>
        <v/>
      </c>
      <c r="M114">
        <f>IF(AND($B114&lt;&gt;"",$F114="Doing"),COUNTIFS($B$2:$B114,"&lt;&gt;",$F$2:$F114,"Doing"),"")</f>
        <v/>
      </c>
      <c r="N114">
        <f>IF(AND($B114&lt;&gt;"",$F114="Done"),COUNTIFS($B$2:$B114,"&lt;&gt;",$F$2:$F114,"Done"),"")</f>
        <v/>
      </c>
      <c r="O114">
        <f>IF($B114="","",$B114&amp;"  |  "&amp;IF($D114="","담당자 미지정",$D114)&amp;IF($H114="",""," · ~"&amp;TEXT($H114,"m/d"))&amp;IF($E114="높음"," 🔺","")&amp;IF(AND($F114&lt;&gt;"Done",$H114&lt;&gt;"",$H114&lt;TODAY())," ⚠",""))</f>
        <v/>
      </c>
    </row>
    <row r="115">
      <c r="A115" s="33">
        <f>IF($B115="","",COUNTA($B$2:$B115))</f>
        <v/>
      </c>
      <c r="B115" s="34" t="n"/>
      <c r="C115" s="34" t="n"/>
      <c r="D115" s="33" t="n"/>
      <c r="E115" s="33" t="n"/>
      <c r="F115" s="33" t="n"/>
      <c r="G115" s="35" t="n"/>
      <c r="H115" s="35" t="n"/>
      <c r="I115" s="36" t="n"/>
      <c r="J115" s="33">
        <f>IF($B115="","",IF($F115="Done","✔ 완료",IF($H115="","—",IF($H115&lt;TODAY(),"⚠ "&amp;(TODAY()-$H115)&amp;"일 지연",IF($H115=TODAY(),"🔔 오늘 마감","D-"&amp;($H115-TODAY()))))))</f>
        <v/>
      </c>
      <c r="K115" s="34" t="n"/>
      <c r="L115">
        <f>IF(AND($B115&lt;&gt;"",$F115="To Do"),COUNTIFS($B$2:$B115,"&lt;&gt;",$F$2:$F115,"To Do"),"")</f>
        <v/>
      </c>
      <c r="M115">
        <f>IF(AND($B115&lt;&gt;"",$F115="Doing"),COUNTIFS($B$2:$B115,"&lt;&gt;",$F$2:$F115,"Doing"),"")</f>
        <v/>
      </c>
      <c r="N115">
        <f>IF(AND($B115&lt;&gt;"",$F115="Done"),COUNTIFS($B$2:$B115,"&lt;&gt;",$F$2:$F115,"Done"),"")</f>
        <v/>
      </c>
      <c r="O115">
        <f>IF($B115="","",$B115&amp;"  |  "&amp;IF($D115="","담당자 미지정",$D115)&amp;IF($H115="",""," · ~"&amp;TEXT($H115,"m/d"))&amp;IF($E115="높음"," 🔺","")&amp;IF(AND($F115&lt;&gt;"Done",$H115&lt;&gt;"",$H115&lt;TODAY())," ⚠",""))</f>
        <v/>
      </c>
    </row>
    <row r="116">
      <c r="A116" s="33">
        <f>IF($B116="","",COUNTA($B$2:$B116))</f>
        <v/>
      </c>
      <c r="B116" s="34" t="n"/>
      <c r="C116" s="34" t="n"/>
      <c r="D116" s="33" t="n"/>
      <c r="E116" s="33" t="n"/>
      <c r="F116" s="33" t="n"/>
      <c r="G116" s="35" t="n"/>
      <c r="H116" s="35" t="n"/>
      <c r="I116" s="36" t="n"/>
      <c r="J116" s="33">
        <f>IF($B116="","",IF($F116="Done","✔ 완료",IF($H116="","—",IF($H116&lt;TODAY(),"⚠ "&amp;(TODAY()-$H116)&amp;"일 지연",IF($H116=TODAY(),"🔔 오늘 마감","D-"&amp;($H116-TODAY()))))))</f>
        <v/>
      </c>
      <c r="K116" s="34" t="n"/>
      <c r="L116">
        <f>IF(AND($B116&lt;&gt;"",$F116="To Do"),COUNTIFS($B$2:$B116,"&lt;&gt;",$F$2:$F116,"To Do"),"")</f>
        <v/>
      </c>
      <c r="M116">
        <f>IF(AND($B116&lt;&gt;"",$F116="Doing"),COUNTIFS($B$2:$B116,"&lt;&gt;",$F$2:$F116,"Doing"),"")</f>
        <v/>
      </c>
      <c r="N116">
        <f>IF(AND($B116&lt;&gt;"",$F116="Done"),COUNTIFS($B$2:$B116,"&lt;&gt;",$F$2:$F116,"Done"),"")</f>
        <v/>
      </c>
      <c r="O116">
        <f>IF($B116="","",$B116&amp;"  |  "&amp;IF($D116="","담당자 미지정",$D116)&amp;IF($H116="",""," · ~"&amp;TEXT($H116,"m/d"))&amp;IF($E116="높음"," 🔺","")&amp;IF(AND($F116&lt;&gt;"Done",$H116&lt;&gt;"",$H116&lt;TODAY())," ⚠",""))</f>
        <v/>
      </c>
    </row>
    <row r="117">
      <c r="A117" s="33">
        <f>IF($B117="","",COUNTA($B$2:$B117))</f>
        <v/>
      </c>
      <c r="B117" s="34" t="n"/>
      <c r="C117" s="34" t="n"/>
      <c r="D117" s="33" t="n"/>
      <c r="E117" s="33" t="n"/>
      <c r="F117" s="33" t="n"/>
      <c r="G117" s="35" t="n"/>
      <c r="H117" s="35" t="n"/>
      <c r="I117" s="36" t="n"/>
      <c r="J117" s="33">
        <f>IF($B117="","",IF($F117="Done","✔ 완료",IF($H117="","—",IF($H117&lt;TODAY(),"⚠ "&amp;(TODAY()-$H117)&amp;"일 지연",IF($H117=TODAY(),"🔔 오늘 마감","D-"&amp;($H117-TODAY()))))))</f>
        <v/>
      </c>
      <c r="K117" s="34" t="n"/>
      <c r="L117">
        <f>IF(AND($B117&lt;&gt;"",$F117="To Do"),COUNTIFS($B$2:$B117,"&lt;&gt;",$F$2:$F117,"To Do"),"")</f>
        <v/>
      </c>
      <c r="M117">
        <f>IF(AND($B117&lt;&gt;"",$F117="Doing"),COUNTIFS($B$2:$B117,"&lt;&gt;",$F$2:$F117,"Doing"),"")</f>
        <v/>
      </c>
      <c r="N117">
        <f>IF(AND($B117&lt;&gt;"",$F117="Done"),COUNTIFS($B$2:$B117,"&lt;&gt;",$F$2:$F117,"Done"),"")</f>
        <v/>
      </c>
      <c r="O117">
        <f>IF($B117="","",$B117&amp;"  |  "&amp;IF($D117="","담당자 미지정",$D117)&amp;IF($H117="",""," · ~"&amp;TEXT($H117,"m/d"))&amp;IF($E117="높음"," 🔺","")&amp;IF(AND($F117&lt;&gt;"Done",$H117&lt;&gt;"",$H117&lt;TODAY())," ⚠",""))</f>
        <v/>
      </c>
    </row>
    <row r="118">
      <c r="A118" s="33">
        <f>IF($B118="","",COUNTA($B$2:$B118))</f>
        <v/>
      </c>
      <c r="B118" s="34" t="n"/>
      <c r="C118" s="34" t="n"/>
      <c r="D118" s="33" t="n"/>
      <c r="E118" s="33" t="n"/>
      <c r="F118" s="33" t="n"/>
      <c r="G118" s="35" t="n"/>
      <c r="H118" s="35" t="n"/>
      <c r="I118" s="36" t="n"/>
      <c r="J118" s="33">
        <f>IF($B118="","",IF($F118="Done","✔ 완료",IF($H118="","—",IF($H118&lt;TODAY(),"⚠ "&amp;(TODAY()-$H118)&amp;"일 지연",IF($H118=TODAY(),"🔔 오늘 마감","D-"&amp;($H118-TODAY()))))))</f>
        <v/>
      </c>
      <c r="K118" s="34" t="n"/>
      <c r="L118">
        <f>IF(AND($B118&lt;&gt;"",$F118="To Do"),COUNTIFS($B$2:$B118,"&lt;&gt;",$F$2:$F118,"To Do"),"")</f>
        <v/>
      </c>
      <c r="M118">
        <f>IF(AND($B118&lt;&gt;"",$F118="Doing"),COUNTIFS($B$2:$B118,"&lt;&gt;",$F$2:$F118,"Doing"),"")</f>
        <v/>
      </c>
      <c r="N118">
        <f>IF(AND($B118&lt;&gt;"",$F118="Done"),COUNTIFS($B$2:$B118,"&lt;&gt;",$F$2:$F118,"Done"),"")</f>
        <v/>
      </c>
      <c r="O118">
        <f>IF($B118="","",$B118&amp;"  |  "&amp;IF($D118="","담당자 미지정",$D118)&amp;IF($H118="",""," · ~"&amp;TEXT($H118,"m/d"))&amp;IF($E118="높음"," 🔺","")&amp;IF(AND($F118&lt;&gt;"Done",$H118&lt;&gt;"",$H118&lt;TODAY())," ⚠",""))</f>
        <v/>
      </c>
    </row>
    <row r="119">
      <c r="A119" s="33">
        <f>IF($B119="","",COUNTA($B$2:$B119))</f>
        <v/>
      </c>
      <c r="B119" s="34" t="n"/>
      <c r="C119" s="34" t="n"/>
      <c r="D119" s="33" t="n"/>
      <c r="E119" s="33" t="n"/>
      <c r="F119" s="33" t="n"/>
      <c r="G119" s="35" t="n"/>
      <c r="H119" s="35" t="n"/>
      <c r="I119" s="36" t="n"/>
      <c r="J119" s="33">
        <f>IF($B119="","",IF($F119="Done","✔ 완료",IF($H119="","—",IF($H119&lt;TODAY(),"⚠ "&amp;(TODAY()-$H119)&amp;"일 지연",IF($H119=TODAY(),"🔔 오늘 마감","D-"&amp;($H119-TODAY()))))))</f>
        <v/>
      </c>
      <c r="K119" s="34" t="n"/>
      <c r="L119">
        <f>IF(AND($B119&lt;&gt;"",$F119="To Do"),COUNTIFS($B$2:$B119,"&lt;&gt;",$F$2:$F119,"To Do"),"")</f>
        <v/>
      </c>
      <c r="M119">
        <f>IF(AND($B119&lt;&gt;"",$F119="Doing"),COUNTIFS($B$2:$B119,"&lt;&gt;",$F$2:$F119,"Doing"),"")</f>
        <v/>
      </c>
      <c r="N119">
        <f>IF(AND($B119&lt;&gt;"",$F119="Done"),COUNTIFS($B$2:$B119,"&lt;&gt;",$F$2:$F119,"Done"),"")</f>
        <v/>
      </c>
      <c r="O119">
        <f>IF($B119="","",$B119&amp;"  |  "&amp;IF($D119="","담당자 미지정",$D119)&amp;IF($H119="",""," · ~"&amp;TEXT($H119,"m/d"))&amp;IF($E119="높음"," 🔺","")&amp;IF(AND($F119&lt;&gt;"Done",$H119&lt;&gt;"",$H119&lt;TODAY())," ⚠",""))</f>
        <v/>
      </c>
    </row>
    <row r="120">
      <c r="A120" s="33">
        <f>IF($B120="","",COUNTA($B$2:$B120))</f>
        <v/>
      </c>
      <c r="B120" s="34" t="n"/>
      <c r="C120" s="34" t="n"/>
      <c r="D120" s="33" t="n"/>
      <c r="E120" s="33" t="n"/>
      <c r="F120" s="33" t="n"/>
      <c r="G120" s="35" t="n"/>
      <c r="H120" s="35" t="n"/>
      <c r="I120" s="36" t="n"/>
      <c r="J120" s="33">
        <f>IF($B120="","",IF($F120="Done","✔ 완료",IF($H120="","—",IF($H120&lt;TODAY(),"⚠ "&amp;(TODAY()-$H120)&amp;"일 지연",IF($H120=TODAY(),"🔔 오늘 마감","D-"&amp;($H120-TODAY()))))))</f>
        <v/>
      </c>
      <c r="K120" s="34" t="n"/>
      <c r="L120">
        <f>IF(AND($B120&lt;&gt;"",$F120="To Do"),COUNTIFS($B$2:$B120,"&lt;&gt;",$F$2:$F120,"To Do"),"")</f>
        <v/>
      </c>
      <c r="M120">
        <f>IF(AND($B120&lt;&gt;"",$F120="Doing"),COUNTIFS($B$2:$B120,"&lt;&gt;",$F$2:$F120,"Doing"),"")</f>
        <v/>
      </c>
      <c r="N120">
        <f>IF(AND($B120&lt;&gt;"",$F120="Done"),COUNTIFS($B$2:$B120,"&lt;&gt;",$F$2:$F120,"Done"),"")</f>
        <v/>
      </c>
      <c r="O120">
        <f>IF($B120="","",$B120&amp;"  |  "&amp;IF($D120="","담당자 미지정",$D120)&amp;IF($H120="",""," · ~"&amp;TEXT($H120,"m/d"))&amp;IF($E120="높음"," 🔺","")&amp;IF(AND($F120&lt;&gt;"Done",$H120&lt;&gt;"",$H120&lt;TODAY())," ⚠",""))</f>
        <v/>
      </c>
    </row>
    <row r="121">
      <c r="A121" s="33">
        <f>IF($B121="","",COUNTA($B$2:$B121))</f>
        <v/>
      </c>
      <c r="B121" s="34" t="n"/>
      <c r="C121" s="34" t="n"/>
      <c r="D121" s="33" t="n"/>
      <c r="E121" s="33" t="n"/>
      <c r="F121" s="33" t="n"/>
      <c r="G121" s="35" t="n"/>
      <c r="H121" s="35" t="n"/>
      <c r="I121" s="36" t="n"/>
      <c r="J121" s="33">
        <f>IF($B121="","",IF($F121="Done","✔ 완료",IF($H121="","—",IF($H121&lt;TODAY(),"⚠ "&amp;(TODAY()-$H121)&amp;"일 지연",IF($H121=TODAY(),"🔔 오늘 마감","D-"&amp;($H121-TODAY()))))))</f>
        <v/>
      </c>
      <c r="K121" s="34" t="n"/>
      <c r="L121">
        <f>IF(AND($B121&lt;&gt;"",$F121="To Do"),COUNTIFS($B$2:$B121,"&lt;&gt;",$F$2:$F121,"To Do"),"")</f>
        <v/>
      </c>
      <c r="M121">
        <f>IF(AND($B121&lt;&gt;"",$F121="Doing"),COUNTIFS($B$2:$B121,"&lt;&gt;",$F$2:$F121,"Doing"),"")</f>
        <v/>
      </c>
      <c r="N121">
        <f>IF(AND($B121&lt;&gt;"",$F121="Done"),COUNTIFS($B$2:$B121,"&lt;&gt;",$F$2:$F121,"Done"),"")</f>
        <v/>
      </c>
      <c r="O121">
        <f>IF($B121="","",$B121&amp;"  |  "&amp;IF($D121="","담당자 미지정",$D121)&amp;IF($H121="",""," · ~"&amp;TEXT($H121,"m/d"))&amp;IF($E121="높음"," 🔺","")&amp;IF(AND($F121&lt;&gt;"Done",$H121&lt;&gt;"",$H121&lt;TODAY())," ⚠",""))</f>
        <v/>
      </c>
    </row>
    <row r="122">
      <c r="A122" s="33">
        <f>IF($B122="","",COUNTA($B$2:$B122))</f>
        <v/>
      </c>
      <c r="B122" s="34" t="n"/>
      <c r="C122" s="34" t="n"/>
      <c r="D122" s="33" t="n"/>
      <c r="E122" s="33" t="n"/>
      <c r="F122" s="33" t="n"/>
      <c r="G122" s="35" t="n"/>
      <c r="H122" s="35" t="n"/>
      <c r="I122" s="36" t="n"/>
      <c r="J122" s="33">
        <f>IF($B122="","",IF($F122="Done","✔ 완료",IF($H122="","—",IF($H122&lt;TODAY(),"⚠ "&amp;(TODAY()-$H122)&amp;"일 지연",IF($H122=TODAY(),"🔔 오늘 마감","D-"&amp;($H122-TODAY()))))))</f>
        <v/>
      </c>
      <c r="K122" s="34" t="n"/>
      <c r="L122">
        <f>IF(AND($B122&lt;&gt;"",$F122="To Do"),COUNTIFS($B$2:$B122,"&lt;&gt;",$F$2:$F122,"To Do"),"")</f>
        <v/>
      </c>
      <c r="M122">
        <f>IF(AND($B122&lt;&gt;"",$F122="Doing"),COUNTIFS($B$2:$B122,"&lt;&gt;",$F$2:$F122,"Doing"),"")</f>
        <v/>
      </c>
      <c r="N122">
        <f>IF(AND($B122&lt;&gt;"",$F122="Done"),COUNTIFS($B$2:$B122,"&lt;&gt;",$F$2:$F122,"Done"),"")</f>
        <v/>
      </c>
      <c r="O122">
        <f>IF($B122="","",$B122&amp;"  |  "&amp;IF($D122="","담당자 미지정",$D122)&amp;IF($H122="",""," · ~"&amp;TEXT($H122,"m/d"))&amp;IF($E122="높음"," 🔺","")&amp;IF(AND($F122&lt;&gt;"Done",$H122&lt;&gt;"",$H122&lt;TODAY())," ⚠",""))</f>
        <v/>
      </c>
    </row>
    <row r="123">
      <c r="A123" s="33">
        <f>IF($B123="","",COUNTA($B$2:$B123))</f>
        <v/>
      </c>
      <c r="B123" s="34" t="n"/>
      <c r="C123" s="34" t="n"/>
      <c r="D123" s="33" t="n"/>
      <c r="E123" s="33" t="n"/>
      <c r="F123" s="33" t="n"/>
      <c r="G123" s="35" t="n"/>
      <c r="H123" s="35" t="n"/>
      <c r="I123" s="36" t="n"/>
      <c r="J123" s="33">
        <f>IF($B123="","",IF($F123="Done","✔ 완료",IF($H123="","—",IF($H123&lt;TODAY(),"⚠ "&amp;(TODAY()-$H123)&amp;"일 지연",IF($H123=TODAY(),"🔔 오늘 마감","D-"&amp;($H123-TODAY()))))))</f>
        <v/>
      </c>
      <c r="K123" s="34" t="n"/>
      <c r="L123">
        <f>IF(AND($B123&lt;&gt;"",$F123="To Do"),COUNTIFS($B$2:$B123,"&lt;&gt;",$F$2:$F123,"To Do"),"")</f>
        <v/>
      </c>
      <c r="M123">
        <f>IF(AND($B123&lt;&gt;"",$F123="Doing"),COUNTIFS($B$2:$B123,"&lt;&gt;",$F$2:$F123,"Doing"),"")</f>
        <v/>
      </c>
      <c r="N123">
        <f>IF(AND($B123&lt;&gt;"",$F123="Done"),COUNTIFS($B$2:$B123,"&lt;&gt;",$F$2:$F123,"Done"),"")</f>
        <v/>
      </c>
      <c r="O123">
        <f>IF($B123="","",$B123&amp;"  |  "&amp;IF($D123="","담당자 미지정",$D123)&amp;IF($H123="",""," · ~"&amp;TEXT($H123,"m/d"))&amp;IF($E123="높음"," 🔺","")&amp;IF(AND($F123&lt;&gt;"Done",$H123&lt;&gt;"",$H123&lt;TODAY())," ⚠",""))</f>
        <v/>
      </c>
    </row>
    <row r="124">
      <c r="A124" s="33">
        <f>IF($B124="","",COUNTA($B$2:$B124))</f>
        <v/>
      </c>
      <c r="B124" s="34" t="n"/>
      <c r="C124" s="34" t="n"/>
      <c r="D124" s="33" t="n"/>
      <c r="E124" s="33" t="n"/>
      <c r="F124" s="33" t="n"/>
      <c r="G124" s="35" t="n"/>
      <c r="H124" s="35" t="n"/>
      <c r="I124" s="36" t="n"/>
      <c r="J124" s="33">
        <f>IF($B124="","",IF($F124="Done","✔ 완료",IF($H124="","—",IF($H124&lt;TODAY(),"⚠ "&amp;(TODAY()-$H124)&amp;"일 지연",IF($H124=TODAY(),"🔔 오늘 마감","D-"&amp;($H124-TODAY()))))))</f>
        <v/>
      </c>
      <c r="K124" s="34" t="n"/>
      <c r="L124">
        <f>IF(AND($B124&lt;&gt;"",$F124="To Do"),COUNTIFS($B$2:$B124,"&lt;&gt;",$F$2:$F124,"To Do"),"")</f>
        <v/>
      </c>
      <c r="M124">
        <f>IF(AND($B124&lt;&gt;"",$F124="Doing"),COUNTIFS($B$2:$B124,"&lt;&gt;",$F$2:$F124,"Doing"),"")</f>
        <v/>
      </c>
      <c r="N124">
        <f>IF(AND($B124&lt;&gt;"",$F124="Done"),COUNTIFS($B$2:$B124,"&lt;&gt;",$F$2:$F124,"Done"),"")</f>
        <v/>
      </c>
      <c r="O124">
        <f>IF($B124="","",$B124&amp;"  |  "&amp;IF($D124="","담당자 미지정",$D124)&amp;IF($H124="",""," · ~"&amp;TEXT($H124,"m/d"))&amp;IF($E124="높음"," 🔺","")&amp;IF(AND($F124&lt;&gt;"Done",$H124&lt;&gt;"",$H124&lt;TODAY())," ⚠",""))</f>
        <v/>
      </c>
    </row>
    <row r="125">
      <c r="A125" s="33">
        <f>IF($B125="","",COUNTA($B$2:$B125))</f>
        <v/>
      </c>
      <c r="B125" s="34" t="n"/>
      <c r="C125" s="34" t="n"/>
      <c r="D125" s="33" t="n"/>
      <c r="E125" s="33" t="n"/>
      <c r="F125" s="33" t="n"/>
      <c r="G125" s="35" t="n"/>
      <c r="H125" s="35" t="n"/>
      <c r="I125" s="36" t="n"/>
      <c r="J125" s="33">
        <f>IF($B125="","",IF($F125="Done","✔ 완료",IF($H125="","—",IF($H125&lt;TODAY(),"⚠ "&amp;(TODAY()-$H125)&amp;"일 지연",IF($H125=TODAY(),"🔔 오늘 마감","D-"&amp;($H125-TODAY()))))))</f>
        <v/>
      </c>
      <c r="K125" s="34" t="n"/>
      <c r="L125">
        <f>IF(AND($B125&lt;&gt;"",$F125="To Do"),COUNTIFS($B$2:$B125,"&lt;&gt;",$F$2:$F125,"To Do"),"")</f>
        <v/>
      </c>
      <c r="M125">
        <f>IF(AND($B125&lt;&gt;"",$F125="Doing"),COUNTIFS($B$2:$B125,"&lt;&gt;",$F$2:$F125,"Doing"),"")</f>
        <v/>
      </c>
      <c r="N125">
        <f>IF(AND($B125&lt;&gt;"",$F125="Done"),COUNTIFS($B$2:$B125,"&lt;&gt;",$F$2:$F125,"Done"),"")</f>
        <v/>
      </c>
      <c r="O125">
        <f>IF($B125="","",$B125&amp;"  |  "&amp;IF($D125="","담당자 미지정",$D125)&amp;IF($H125="",""," · ~"&amp;TEXT($H125,"m/d"))&amp;IF($E125="높음"," 🔺","")&amp;IF(AND($F125&lt;&gt;"Done",$H125&lt;&gt;"",$H125&lt;TODAY())," ⚠",""))</f>
        <v/>
      </c>
    </row>
    <row r="126">
      <c r="A126" s="33">
        <f>IF($B126="","",COUNTA($B$2:$B126))</f>
        <v/>
      </c>
      <c r="B126" s="34" t="n"/>
      <c r="C126" s="34" t="n"/>
      <c r="D126" s="33" t="n"/>
      <c r="E126" s="33" t="n"/>
      <c r="F126" s="33" t="n"/>
      <c r="G126" s="35" t="n"/>
      <c r="H126" s="35" t="n"/>
      <c r="I126" s="36" t="n"/>
      <c r="J126" s="33">
        <f>IF($B126="","",IF($F126="Done","✔ 완료",IF($H126="","—",IF($H126&lt;TODAY(),"⚠ "&amp;(TODAY()-$H126)&amp;"일 지연",IF($H126=TODAY(),"🔔 오늘 마감","D-"&amp;($H126-TODAY()))))))</f>
        <v/>
      </c>
      <c r="K126" s="34" t="n"/>
      <c r="L126">
        <f>IF(AND($B126&lt;&gt;"",$F126="To Do"),COUNTIFS($B$2:$B126,"&lt;&gt;",$F$2:$F126,"To Do"),"")</f>
        <v/>
      </c>
      <c r="M126">
        <f>IF(AND($B126&lt;&gt;"",$F126="Doing"),COUNTIFS($B$2:$B126,"&lt;&gt;",$F$2:$F126,"Doing"),"")</f>
        <v/>
      </c>
      <c r="N126">
        <f>IF(AND($B126&lt;&gt;"",$F126="Done"),COUNTIFS($B$2:$B126,"&lt;&gt;",$F$2:$F126,"Done"),"")</f>
        <v/>
      </c>
      <c r="O126">
        <f>IF($B126="","",$B126&amp;"  |  "&amp;IF($D126="","담당자 미지정",$D126)&amp;IF($H126="",""," · ~"&amp;TEXT($H126,"m/d"))&amp;IF($E126="높음"," 🔺","")&amp;IF(AND($F126&lt;&gt;"Done",$H126&lt;&gt;"",$H126&lt;TODAY())," ⚠",""))</f>
        <v/>
      </c>
    </row>
    <row r="127">
      <c r="A127" s="33">
        <f>IF($B127="","",COUNTA($B$2:$B127))</f>
        <v/>
      </c>
      <c r="B127" s="34" t="n"/>
      <c r="C127" s="34" t="n"/>
      <c r="D127" s="33" t="n"/>
      <c r="E127" s="33" t="n"/>
      <c r="F127" s="33" t="n"/>
      <c r="G127" s="35" t="n"/>
      <c r="H127" s="35" t="n"/>
      <c r="I127" s="36" t="n"/>
      <c r="J127" s="33">
        <f>IF($B127="","",IF($F127="Done","✔ 완료",IF($H127="","—",IF($H127&lt;TODAY(),"⚠ "&amp;(TODAY()-$H127)&amp;"일 지연",IF($H127=TODAY(),"🔔 오늘 마감","D-"&amp;($H127-TODAY()))))))</f>
        <v/>
      </c>
      <c r="K127" s="34" t="n"/>
      <c r="L127">
        <f>IF(AND($B127&lt;&gt;"",$F127="To Do"),COUNTIFS($B$2:$B127,"&lt;&gt;",$F$2:$F127,"To Do"),"")</f>
        <v/>
      </c>
      <c r="M127">
        <f>IF(AND($B127&lt;&gt;"",$F127="Doing"),COUNTIFS($B$2:$B127,"&lt;&gt;",$F$2:$F127,"Doing"),"")</f>
        <v/>
      </c>
      <c r="N127">
        <f>IF(AND($B127&lt;&gt;"",$F127="Done"),COUNTIFS($B$2:$B127,"&lt;&gt;",$F$2:$F127,"Done"),"")</f>
        <v/>
      </c>
      <c r="O127">
        <f>IF($B127="","",$B127&amp;"  |  "&amp;IF($D127="","담당자 미지정",$D127)&amp;IF($H127="",""," · ~"&amp;TEXT($H127,"m/d"))&amp;IF($E127="높음"," 🔺","")&amp;IF(AND($F127&lt;&gt;"Done",$H127&lt;&gt;"",$H127&lt;TODAY())," ⚠",""))</f>
        <v/>
      </c>
    </row>
    <row r="128">
      <c r="A128" s="33">
        <f>IF($B128="","",COUNTA($B$2:$B128))</f>
        <v/>
      </c>
      <c r="B128" s="34" t="n"/>
      <c r="C128" s="34" t="n"/>
      <c r="D128" s="33" t="n"/>
      <c r="E128" s="33" t="n"/>
      <c r="F128" s="33" t="n"/>
      <c r="G128" s="35" t="n"/>
      <c r="H128" s="35" t="n"/>
      <c r="I128" s="36" t="n"/>
      <c r="J128" s="33">
        <f>IF($B128="","",IF($F128="Done","✔ 완료",IF($H128="","—",IF($H128&lt;TODAY(),"⚠ "&amp;(TODAY()-$H128)&amp;"일 지연",IF($H128=TODAY(),"🔔 오늘 마감","D-"&amp;($H128-TODAY()))))))</f>
        <v/>
      </c>
      <c r="K128" s="34" t="n"/>
      <c r="L128">
        <f>IF(AND($B128&lt;&gt;"",$F128="To Do"),COUNTIFS($B$2:$B128,"&lt;&gt;",$F$2:$F128,"To Do"),"")</f>
        <v/>
      </c>
      <c r="M128">
        <f>IF(AND($B128&lt;&gt;"",$F128="Doing"),COUNTIFS($B$2:$B128,"&lt;&gt;",$F$2:$F128,"Doing"),"")</f>
        <v/>
      </c>
      <c r="N128">
        <f>IF(AND($B128&lt;&gt;"",$F128="Done"),COUNTIFS($B$2:$B128,"&lt;&gt;",$F$2:$F128,"Done"),"")</f>
        <v/>
      </c>
      <c r="O128">
        <f>IF($B128="","",$B128&amp;"  |  "&amp;IF($D128="","담당자 미지정",$D128)&amp;IF($H128="",""," · ~"&amp;TEXT($H128,"m/d"))&amp;IF($E128="높음"," 🔺","")&amp;IF(AND($F128&lt;&gt;"Done",$H128&lt;&gt;"",$H128&lt;TODAY())," ⚠",""))</f>
        <v/>
      </c>
    </row>
    <row r="129">
      <c r="A129" s="33">
        <f>IF($B129="","",COUNTA($B$2:$B129))</f>
        <v/>
      </c>
      <c r="B129" s="34" t="n"/>
      <c r="C129" s="34" t="n"/>
      <c r="D129" s="33" t="n"/>
      <c r="E129" s="33" t="n"/>
      <c r="F129" s="33" t="n"/>
      <c r="G129" s="35" t="n"/>
      <c r="H129" s="35" t="n"/>
      <c r="I129" s="36" t="n"/>
      <c r="J129" s="33">
        <f>IF($B129="","",IF($F129="Done","✔ 완료",IF($H129="","—",IF($H129&lt;TODAY(),"⚠ "&amp;(TODAY()-$H129)&amp;"일 지연",IF($H129=TODAY(),"🔔 오늘 마감","D-"&amp;($H129-TODAY()))))))</f>
        <v/>
      </c>
      <c r="K129" s="34" t="n"/>
      <c r="L129">
        <f>IF(AND($B129&lt;&gt;"",$F129="To Do"),COUNTIFS($B$2:$B129,"&lt;&gt;",$F$2:$F129,"To Do"),"")</f>
        <v/>
      </c>
      <c r="M129">
        <f>IF(AND($B129&lt;&gt;"",$F129="Doing"),COUNTIFS($B$2:$B129,"&lt;&gt;",$F$2:$F129,"Doing"),"")</f>
        <v/>
      </c>
      <c r="N129">
        <f>IF(AND($B129&lt;&gt;"",$F129="Done"),COUNTIFS($B$2:$B129,"&lt;&gt;",$F$2:$F129,"Done"),"")</f>
        <v/>
      </c>
      <c r="O129">
        <f>IF($B129="","",$B129&amp;"  |  "&amp;IF($D129="","담당자 미지정",$D129)&amp;IF($H129="",""," · ~"&amp;TEXT($H129,"m/d"))&amp;IF($E129="높음"," 🔺","")&amp;IF(AND($F129&lt;&gt;"Done",$H129&lt;&gt;"",$H129&lt;TODAY())," ⚠",""))</f>
        <v/>
      </c>
    </row>
    <row r="130">
      <c r="A130" s="33">
        <f>IF($B130="","",COUNTA($B$2:$B130))</f>
        <v/>
      </c>
      <c r="B130" s="34" t="n"/>
      <c r="C130" s="34" t="n"/>
      <c r="D130" s="33" t="n"/>
      <c r="E130" s="33" t="n"/>
      <c r="F130" s="33" t="n"/>
      <c r="G130" s="35" t="n"/>
      <c r="H130" s="35" t="n"/>
      <c r="I130" s="36" t="n"/>
      <c r="J130" s="33">
        <f>IF($B130="","",IF($F130="Done","✔ 완료",IF($H130="","—",IF($H130&lt;TODAY(),"⚠ "&amp;(TODAY()-$H130)&amp;"일 지연",IF($H130=TODAY(),"🔔 오늘 마감","D-"&amp;($H130-TODAY()))))))</f>
        <v/>
      </c>
      <c r="K130" s="34" t="n"/>
      <c r="L130">
        <f>IF(AND($B130&lt;&gt;"",$F130="To Do"),COUNTIFS($B$2:$B130,"&lt;&gt;",$F$2:$F130,"To Do"),"")</f>
        <v/>
      </c>
      <c r="M130">
        <f>IF(AND($B130&lt;&gt;"",$F130="Doing"),COUNTIFS($B$2:$B130,"&lt;&gt;",$F$2:$F130,"Doing"),"")</f>
        <v/>
      </c>
      <c r="N130">
        <f>IF(AND($B130&lt;&gt;"",$F130="Done"),COUNTIFS($B$2:$B130,"&lt;&gt;",$F$2:$F130,"Done"),"")</f>
        <v/>
      </c>
      <c r="O130">
        <f>IF($B130="","",$B130&amp;"  |  "&amp;IF($D130="","담당자 미지정",$D130)&amp;IF($H130="",""," · ~"&amp;TEXT($H130,"m/d"))&amp;IF($E130="높음"," 🔺","")&amp;IF(AND($F130&lt;&gt;"Done",$H130&lt;&gt;"",$H130&lt;TODAY())," ⚠",""))</f>
        <v/>
      </c>
    </row>
    <row r="131">
      <c r="A131" s="33">
        <f>IF($B131="","",COUNTA($B$2:$B131))</f>
        <v/>
      </c>
      <c r="B131" s="34" t="n"/>
      <c r="C131" s="34" t="n"/>
      <c r="D131" s="33" t="n"/>
      <c r="E131" s="33" t="n"/>
      <c r="F131" s="33" t="n"/>
      <c r="G131" s="35" t="n"/>
      <c r="H131" s="35" t="n"/>
      <c r="I131" s="36" t="n"/>
      <c r="J131" s="33">
        <f>IF($B131="","",IF($F131="Done","✔ 완료",IF($H131="","—",IF($H131&lt;TODAY(),"⚠ "&amp;(TODAY()-$H131)&amp;"일 지연",IF($H131=TODAY(),"🔔 오늘 마감","D-"&amp;($H131-TODAY()))))))</f>
        <v/>
      </c>
      <c r="K131" s="34" t="n"/>
      <c r="L131">
        <f>IF(AND($B131&lt;&gt;"",$F131="To Do"),COUNTIFS($B$2:$B131,"&lt;&gt;",$F$2:$F131,"To Do"),"")</f>
        <v/>
      </c>
      <c r="M131">
        <f>IF(AND($B131&lt;&gt;"",$F131="Doing"),COUNTIFS($B$2:$B131,"&lt;&gt;",$F$2:$F131,"Doing"),"")</f>
        <v/>
      </c>
      <c r="N131">
        <f>IF(AND($B131&lt;&gt;"",$F131="Done"),COUNTIFS($B$2:$B131,"&lt;&gt;",$F$2:$F131,"Done"),"")</f>
        <v/>
      </c>
      <c r="O131">
        <f>IF($B131="","",$B131&amp;"  |  "&amp;IF($D131="","담당자 미지정",$D131)&amp;IF($H131="",""," · ~"&amp;TEXT($H131,"m/d"))&amp;IF($E131="높음"," 🔺","")&amp;IF(AND($F131&lt;&gt;"Done",$H131&lt;&gt;"",$H131&lt;TODAY())," ⚠",""))</f>
        <v/>
      </c>
    </row>
    <row r="132">
      <c r="A132" s="33">
        <f>IF($B132="","",COUNTA($B$2:$B132))</f>
        <v/>
      </c>
      <c r="B132" s="34" t="n"/>
      <c r="C132" s="34" t="n"/>
      <c r="D132" s="33" t="n"/>
      <c r="E132" s="33" t="n"/>
      <c r="F132" s="33" t="n"/>
      <c r="G132" s="35" t="n"/>
      <c r="H132" s="35" t="n"/>
      <c r="I132" s="36" t="n"/>
      <c r="J132" s="33">
        <f>IF($B132="","",IF($F132="Done","✔ 완료",IF($H132="","—",IF($H132&lt;TODAY(),"⚠ "&amp;(TODAY()-$H132)&amp;"일 지연",IF($H132=TODAY(),"🔔 오늘 마감","D-"&amp;($H132-TODAY()))))))</f>
        <v/>
      </c>
      <c r="K132" s="34" t="n"/>
      <c r="L132">
        <f>IF(AND($B132&lt;&gt;"",$F132="To Do"),COUNTIFS($B$2:$B132,"&lt;&gt;",$F$2:$F132,"To Do"),"")</f>
        <v/>
      </c>
      <c r="M132">
        <f>IF(AND($B132&lt;&gt;"",$F132="Doing"),COUNTIFS($B$2:$B132,"&lt;&gt;",$F$2:$F132,"Doing"),"")</f>
        <v/>
      </c>
      <c r="N132">
        <f>IF(AND($B132&lt;&gt;"",$F132="Done"),COUNTIFS($B$2:$B132,"&lt;&gt;",$F$2:$F132,"Done"),"")</f>
        <v/>
      </c>
      <c r="O132">
        <f>IF($B132="","",$B132&amp;"  |  "&amp;IF($D132="","담당자 미지정",$D132)&amp;IF($H132="",""," · ~"&amp;TEXT($H132,"m/d"))&amp;IF($E132="높음"," 🔺","")&amp;IF(AND($F132&lt;&gt;"Done",$H132&lt;&gt;"",$H132&lt;TODAY())," ⚠",""))</f>
        <v/>
      </c>
    </row>
    <row r="133">
      <c r="A133" s="33">
        <f>IF($B133="","",COUNTA($B$2:$B133))</f>
        <v/>
      </c>
      <c r="B133" s="34" t="n"/>
      <c r="C133" s="34" t="n"/>
      <c r="D133" s="33" t="n"/>
      <c r="E133" s="33" t="n"/>
      <c r="F133" s="33" t="n"/>
      <c r="G133" s="35" t="n"/>
      <c r="H133" s="35" t="n"/>
      <c r="I133" s="36" t="n"/>
      <c r="J133" s="33">
        <f>IF($B133="","",IF($F133="Done","✔ 완료",IF($H133="","—",IF($H133&lt;TODAY(),"⚠ "&amp;(TODAY()-$H133)&amp;"일 지연",IF($H133=TODAY(),"🔔 오늘 마감","D-"&amp;($H133-TODAY()))))))</f>
        <v/>
      </c>
      <c r="K133" s="34" t="n"/>
      <c r="L133">
        <f>IF(AND($B133&lt;&gt;"",$F133="To Do"),COUNTIFS($B$2:$B133,"&lt;&gt;",$F$2:$F133,"To Do"),"")</f>
        <v/>
      </c>
      <c r="M133">
        <f>IF(AND($B133&lt;&gt;"",$F133="Doing"),COUNTIFS($B$2:$B133,"&lt;&gt;",$F$2:$F133,"Doing"),"")</f>
        <v/>
      </c>
      <c r="N133">
        <f>IF(AND($B133&lt;&gt;"",$F133="Done"),COUNTIFS($B$2:$B133,"&lt;&gt;",$F$2:$F133,"Done"),"")</f>
        <v/>
      </c>
      <c r="O133">
        <f>IF($B133="","",$B133&amp;"  |  "&amp;IF($D133="","담당자 미지정",$D133)&amp;IF($H133="",""," · ~"&amp;TEXT($H133,"m/d"))&amp;IF($E133="높음"," 🔺","")&amp;IF(AND($F133&lt;&gt;"Done",$H133&lt;&gt;"",$H133&lt;TODAY())," ⚠",""))</f>
        <v/>
      </c>
    </row>
    <row r="134">
      <c r="A134" s="33">
        <f>IF($B134="","",COUNTA($B$2:$B134))</f>
        <v/>
      </c>
      <c r="B134" s="34" t="n"/>
      <c r="C134" s="34" t="n"/>
      <c r="D134" s="33" t="n"/>
      <c r="E134" s="33" t="n"/>
      <c r="F134" s="33" t="n"/>
      <c r="G134" s="35" t="n"/>
      <c r="H134" s="35" t="n"/>
      <c r="I134" s="36" t="n"/>
      <c r="J134" s="33">
        <f>IF($B134="","",IF($F134="Done","✔ 완료",IF($H134="","—",IF($H134&lt;TODAY(),"⚠ "&amp;(TODAY()-$H134)&amp;"일 지연",IF($H134=TODAY(),"🔔 오늘 마감","D-"&amp;($H134-TODAY()))))))</f>
        <v/>
      </c>
      <c r="K134" s="34" t="n"/>
      <c r="L134">
        <f>IF(AND($B134&lt;&gt;"",$F134="To Do"),COUNTIFS($B$2:$B134,"&lt;&gt;",$F$2:$F134,"To Do"),"")</f>
        <v/>
      </c>
      <c r="M134">
        <f>IF(AND($B134&lt;&gt;"",$F134="Doing"),COUNTIFS($B$2:$B134,"&lt;&gt;",$F$2:$F134,"Doing"),"")</f>
        <v/>
      </c>
      <c r="N134">
        <f>IF(AND($B134&lt;&gt;"",$F134="Done"),COUNTIFS($B$2:$B134,"&lt;&gt;",$F$2:$F134,"Done"),"")</f>
        <v/>
      </c>
      <c r="O134">
        <f>IF($B134="","",$B134&amp;"  |  "&amp;IF($D134="","담당자 미지정",$D134)&amp;IF($H134="",""," · ~"&amp;TEXT($H134,"m/d"))&amp;IF($E134="높음"," 🔺","")&amp;IF(AND($F134&lt;&gt;"Done",$H134&lt;&gt;"",$H134&lt;TODAY())," ⚠",""))</f>
        <v/>
      </c>
    </row>
    <row r="135">
      <c r="A135" s="33">
        <f>IF($B135="","",COUNTA($B$2:$B135))</f>
        <v/>
      </c>
      <c r="B135" s="34" t="n"/>
      <c r="C135" s="34" t="n"/>
      <c r="D135" s="33" t="n"/>
      <c r="E135" s="33" t="n"/>
      <c r="F135" s="33" t="n"/>
      <c r="G135" s="35" t="n"/>
      <c r="H135" s="35" t="n"/>
      <c r="I135" s="36" t="n"/>
      <c r="J135" s="33">
        <f>IF($B135="","",IF($F135="Done","✔ 완료",IF($H135="","—",IF($H135&lt;TODAY(),"⚠ "&amp;(TODAY()-$H135)&amp;"일 지연",IF($H135=TODAY(),"🔔 오늘 마감","D-"&amp;($H135-TODAY()))))))</f>
        <v/>
      </c>
      <c r="K135" s="34" t="n"/>
      <c r="L135">
        <f>IF(AND($B135&lt;&gt;"",$F135="To Do"),COUNTIFS($B$2:$B135,"&lt;&gt;",$F$2:$F135,"To Do"),"")</f>
        <v/>
      </c>
      <c r="M135">
        <f>IF(AND($B135&lt;&gt;"",$F135="Doing"),COUNTIFS($B$2:$B135,"&lt;&gt;",$F$2:$F135,"Doing"),"")</f>
        <v/>
      </c>
      <c r="N135">
        <f>IF(AND($B135&lt;&gt;"",$F135="Done"),COUNTIFS($B$2:$B135,"&lt;&gt;",$F$2:$F135,"Done"),"")</f>
        <v/>
      </c>
      <c r="O135">
        <f>IF($B135="","",$B135&amp;"  |  "&amp;IF($D135="","담당자 미지정",$D135)&amp;IF($H135="",""," · ~"&amp;TEXT($H135,"m/d"))&amp;IF($E135="높음"," 🔺","")&amp;IF(AND($F135&lt;&gt;"Done",$H135&lt;&gt;"",$H135&lt;TODAY())," ⚠",""))</f>
        <v/>
      </c>
    </row>
    <row r="136">
      <c r="A136" s="33">
        <f>IF($B136="","",COUNTA($B$2:$B136))</f>
        <v/>
      </c>
      <c r="B136" s="34" t="n"/>
      <c r="C136" s="34" t="n"/>
      <c r="D136" s="33" t="n"/>
      <c r="E136" s="33" t="n"/>
      <c r="F136" s="33" t="n"/>
      <c r="G136" s="35" t="n"/>
      <c r="H136" s="35" t="n"/>
      <c r="I136" s="36" t="n"/>
      <c r="J136" s="33">
        <f>IF($B136="","",IF($F136="Done","✔ 완료",IF($H136="","—",IF($H136&lt;TODAY(),"⚠ "&amp;(TODAY()-$H136)&amp;"일 지연",IF($H136=TODAY(),"🔔 오늘 마감","D-"&amp;($H136-TODAY()))))))</f>
        <v/>
      </c>
      <c r="K136" s="34" t="n"/>
      <c r="L136">
        <f>IF(AND($B136&lt;&gt;"",$F136="To Do"),COUNTIFS($B$2:$B136,"&lt;&gt;",$F$2:$F136,"To Do"),"")</f>
        <v/>
      </c>
      <c r="M136">
        <f>IF(AND($B136&lt;&gt;"",$F136="Doing"),COUNTIFS($B$2:$B136,"&lt;&gt;",$F$2:$F136,"Doing"),"")</f>
        <v/>
      </c>
      <c r="N136">
        <f>IF(AND($B136&lt;&gt;"",$F136="Done"),COUNTIFS($B$2:$B136,"&lt;&gt;",$F$2:$F136,"Done"),"")</f>
        <v/>
      </c>
      <c r="O136">
        <f>IF($B136="","",$B136&amp;"  |  "&amp;IF($D136="","담당자 미지정",$D136)&amp;IF($H136="",""," · ~"&amp;TEXT($H136,"m/d"))&amp;IF($E136="높음"," 🔺","")&amp;IF(AND($F136&lt;&gt;"Done",$H136&lt;&gt;"",$H136&lt;TODAY())," ⚠",""))</f>
        <v/>
      </c>
    </row>
    <row r="137">
      <c r="A137" s="33">
        <f>IF($B137="","",COUNTA($B$2:$B137))</f>
        <v/>
      </c>
      <c r="B137" s="34" t="n"/>
      <c r="C137" s="34" t="n"/>
      <c r="D137" s="33" t="n"/>
      <c r="E137" s="33" t="n"/>
      <c r="F137" s="33" t="n"/>
      <c r="G137" s="35" t="n"/>
      <c r="H137" s="35" t="n"/>
      <c r="I137" s="36" t="n"/>
      <c r="J137" s="33">
        <f>IF($B137="","",IF($F137="Done","✔ 완료",IF($H137="","—",IF($H137&lt;TODAY(),"⚠ "&amp;(TODAY()-$H137)&amp;"일 지연",IF($H137=TODAY(),"🔔 오늘 마감","D-"&amp;($H137-TODAY()))))))</f>
        <v/>
      </c>
      <c r="K137" s="34" t="n"/>
      <c r="L137">
        <f>IF(AND($B137&lt;&gt;"",$F137="To Do"),COUNTIFS($B$2:$B137,"&lt;&gt;",$F$2:$F137,"To Do"),"")</f>
        <v/>
      </c>
      <c r="M137">
        <f>IF(AND($B137&lt;&gt;"",$F137="Doing"),COUNTIFS($B$2:$B137,"&lt;&gt;",$F$2:$F137,"Doing"),"")</f>
        <v/>
      </c>
      <c r="N137">
        <f>IF(AND($B137&lt;&gt;"",$F137="Done"),COUNTIFS($B$2:$B137,"&lt;&gt;",$F$2:$F137,"Done"),"")</f>
        <v/>
      </c>
      <c r="O137">
        <f>IF($B137="","",$B137&amp;"  |  "&amp;IF($D137="","담당자 미지정",$D137)&amp;IF($H137="",""," · ~"&amp;TEXT($H137,"m/d"))&amp;IF($E137="높음"," 🔺","")&amp;IF(AND($F137&lt;&gt;"Done",$H137&lt;&gt;"",$H137&lt;TODAY())," ⚠",""))</f>
        <v/>
      </c>
    </row>
    <row r="138">
      <c r="A138" s="33">
        <f>IF($B138="","",COUNTA($B$2:$B138))</f>
        <v/>
      </c>
      <c r="B138" s="34" t="n"/>
      <c r="C138" s="34" t="n"/>
      <c r="D138" s="33" t="n"/>
      <c r="E138" s="33" t="n"/>
      <c r="F138" s="33" t="n"/>
      <c r="G138" s="35" t="n"/>
      <c r="H138" s="35" t="n"/>
      <c r="I138" s="36" t="n"/>
      <c r="J138" s="33">
        <f>IF($B138="","",IF($F138="Done","✔ 완료",IF($H138="","—",IF($H138&lt;TODAY(),"⚠ "&amp;(TODAY()-$H138)&amp;"일 지연",IF($H138=TODAY(),"🔔 오늘 마감","D-"&amp;($H138-TODAY()))))))</f>
        <v/>
      </c>
      <c r="K138" s="34" t="n"/>
      <c r="L138">
        <f>IF(AND($B138&lt;&gt;"",$F138="To Do"),COUNTIFS($B$2:$B138,"&lt;&gt;",$F$2:$F138,"To Do"),"")</f>
        <v/>
      </c>
      <c r="M138">
        <f>IF(AND($B138&lt;&gt;"",$F138="Doing"),COUNTIFS($B$2:$B138,"&lt;&gt;",$F$2:$F138,"Doing"),"")</f>
        <v/>
      </c>
      <c r="N138">
        <f>IF(AND($B138&lt;&gt;"",$F138="Done"),COUNTIFS($B$2:$B138,"&lt;&gt;",$F$2:$F138,"Done"),"")</f>
        <v/>
      </c>
      <c r="O138">
        <f>IF($B138="","",$B138&amp;"  |  "&amp;IF($D138="","담당자 미지정",$D138)&amp;IF($H138="",""," · ~"&amp;TEXT($H138,"m/d"))&amp;IF($E138="높음"," 🔺","")&amp;IF(AND($F138&lt;&gt;"Done",$H138&lt;&gt;"",$H138&lt;TODAY())," ⚠",""))</f>
        <v/>
      </c>
    </row>
    <row r="139">
      <c r="A139" s="33">
        <f>IF($B139="","",COUNTA($B$2:$B139))</f>
        <v/>
      </c>
      <c r="B139" s="34" t="n"/>
      <c r="C139" s="34" t="n"/>
      <c r="D139" s="33" t="n"/>
      <c r="E139" s="33" t="n"/>
      <c r="F139" s="33" t="n"/>
      <c r="G139" s="35" t="n"/>
      <c r="H139" s="35" t="n"/>
      <c r="I139" s="36" t="n"/>
      <c r="J139" s="33">
        <f>IF($B139="","",IF($F139="Done","✔ 완료",IF($H139="","—",IF($H139&lt;TODAY(),"⚠ "&amp;(TODAY()-$H139)&amp;"일 지연",IF($H139=TODAY(),"🔔 오늘 마감","D-"&amp;($H139-TODAY()))))))</f>
        <v/>
      </c>
      <c r="K139" s="34" t="n"/>
      <c r="L139">
        <f>IF(AND($B139&lt;&gt;"",$F139="To Do"),COUNTIFS($B$2:$B139,"&lt;&gt;",$F$2:$F139,"To Do"),"")</f>
        <v/>
      </c>
      <c r="M139">
        <f>IF(AND($B139&lt;&gt;"",$F139="Doing"),COUNTIFS($B$2:$B139,"&lt;&gt;",$F$2:$F139,"Doing"),"")</f>
        <v/>
      </c>
      <c r="N139">
        <f>IF(AND($B139&lt;&gt;"",$F139="Done"),COUNTIFS($B$2:$B139,"&lt;&gt;",$F$2:$F139,"Done"),"")</f>
        <v/>
      </c>
      <c r="O139">
        <f>IF($B139="","",$B139&amp;"  |  "&amp;IF($D139="","담당자 미지정",$D139)&amp;IF($H139="",""," · ~"&amp;TEXT($H139,"m/d"))&amp;IF($E139="높음"," 🔺","")&amp;IF(AND($F139&lt;&gt;"Done",$H139&lt;&gt;"",$H139&lt;TODAY())," ⚠",""))</f>
        <v/>
      </c>
    </row>
    <row r="140">
      <c r="A140" s="33">
        <f>IF($B140="","",COUNTA($B$2:$B140))</f>
        <v/>
      </c>
      <c r="B140" s="34" t="n"/>
      <c r="C140" s="34" t="n"/>
      <c r="D140" s="33" t="n"/>
      <c r="E140" s="33" t="n"/>
      <c r="F140" s="33" t="n"/>
      <c r="G140" s="35" t="n"/>
      <c r="H140" s="35" t="n"/>
      <c r="I140" s="36" t="n"/>
      <c r="J140" s="33">
        <f>IF($B140="","",IF($F140="Done","✔ 완료",IF($H140="","—",IF($H140&lt;TODAY(),"⚠ "&amp;(TODAY()-$H140)&amp;"일 지연",IF($H140=TODAY(),"🔔 오늘 마감","D-"&amp;($H140-TODAY()))))))</f>
        <v/>
      </c>
      <c r="K140" s="34" t="n"/>
      <c r="L140">
        <f>IF(AND($B140&lt;&gt;"",$F140="To Do"),COUNTIFS($B$2:$B140,"&lt;&gt;",$F$2:$F140,"To Do"),"")</f>
        <v/>
      </c>
      <c r="M140">
        <f>IF(AND($B140&lt;&gt;"",$F140="Doing"),COUNTIFS($B$2:$B140,"&lt;&gt;",$F$2:$F140,"Doing"),"")</f>
        <v/>
      </c>
      <c r="N140">
        <f>IF(AND($B140&lt;&gt;"",$F140="Done"),COUNTIFS($B$2:$B140,"&lt;&gt;",$F$2:$F140,"Done"),"")</f>
        <v/>
      </c>
      <c r="O140">
        <f>IF($B140="","",$B140&amp;"  |  "&amp;IF($D140="","담당자 미지정",$D140)&amp;IF($H140="",""," · ~"&amp;TEXT($H140,"m/d"))&amp;IF($E140="높음"," 🔺","")&amp;IF(AND($F140&lt;&gt;"Done",$H140&lt;&gt;"",$H140&lt;TODAY())," ⚠",""))</f>
        <v/>
      </c>
    </row>
    <row r="141">
      <c r="A141" s="33">
        <f>IF($B141="","",COUNTA($B$2:$B141))</f>
        <v/>
      </c>
      <c r="B141" s="34" t="n"/>
      <c r="C141" s="34" t="n"/>
      <c r="D141" s="33" t="n"/>
      <c r="E141" s="33" t="n"/>
      <c r="F141" s="33" t="n"/>
      <c r="G141" s="35" t="n"/>
      <c r="H141" s="35" t="n"/>
      <c r="I141" s="36" t="n"/>
      <c r="J141" s="33">
        <f>IF($B141="","",IF($F141="Done","✔ 완료",IF($H141="","—",IF($H141&lt;TODAY(),"⚠ "&amp;(TODAY()-$H141)&amp;"일 지연",IF($H141=TODAY(),"🔔 오늘 마감","D-"&amp;($H141-TODAY()))))))</f>
        <v/>
      </c>
      <c r="K141" s="34" t="n"/>
      <c r="L141">
        <f>IF(AND($B141&lt;&gt;"",$F141="To Do"),COUNTIFS($B$2:$B141,"&lt;&gt;",$F$2:$F141,"To Do"),"")</f>
        <v/>
      </c>
      <c r="M141">
        <f>IF(AND($B141&lt;&gt;"",$F141="Doing"),COUNTIFS($B$2:$B141,"&lt;&gt;",$F$2:$F141,"Doing"),"")</f>
        <v/>
      </c>
      <c r="N141">
        <f>IF(AND($B141&lt;&gt;"",$F141="Done"),COUNTIFS($B$2:$B141,"&lt;&gt;",$F$2:$F141,"Done"),"")</f>
        <v/>
      </c>
      <c r="O141">
        <f>IF($B141="","",$B141&amp;"  |  "&amp;IF($D141="","담당자 미지정",$D141)&amp;IF($H141="",""," · ~"&amp;TEXT($H141,"m/d"))&amp;IF($E141="높음"," 🔺","")&amp;IF(AND($F141&lt;&gt;"Done",$H141&lt;&gt;"",$H141&lt;TODAY())," ⚠",""))</f>
        <v/>
      </c>
    </row>
    <row r="142">
      <c r="A142" s="33">
        <f>IF($B142="","",COUNTA($B$2:$B142))</f>
        <v/>
      </c>
      <c r="B142" s="34" t="n"/>
      <c r="C142" s="34" t="n"/>
      <c r="D142" s="33" t="n"/>
      <c r="E142" s="33" t="n"/>
      <c r="F142" s="33" t="n"/>
      <c r="G142" s="35" t="n"/>
      <c r="H142" s="35" t="n"/>
      <c r="I142" s="36" t="n"/>
      <c r="J142" s="33">
        <f>IF($B142="","",IF($F142="Done","✔ 완료",IF($H142="","—",IF($H142&lt;TODAY(),"⚠ "&amp;(TODAY()-$H142)&amp;"일 지연",IF($H142=TODAY(),"🔔 오늘 마감","D-"&amp;($H142-TODAY()))))))</f>
        <v/>
      </c>
      <c r="K142" s="34" t="n"/>
      <c r="L142">
        <f>IF(AND($B142&lt;&gt;"",$F142="To Do"),COUNTIFS($B$2:$B142,"&lt;&gt;",$F$2:$F142,"To Do"),"")</f>
        <v/>
      </c>
      <c r="M142">
        <f>IF(AND($B142&lt;&gt;"",$F142="Doing"),COUNTIFS($B$2:$B142,"&lt;&gt;",$F$2:$F142,"Doing"),"")</f>
        <v/>
      </c>
      <c r="N142">
        <f>IF(AND($B142&lt;&gt;"",$F142="Done"),COUNTIFS($B$2:$B142,"&lt;&gt;",$F$2:$F142,"Done"),"")</f>
        <v/>
      </c>
      <c r="O142">
        <f>IF($B142="","",$B142&amp;"  |  "&amp;IF($D142="","담당자 미지정",$D142)&amp;IF($H142="",""," · ~"&amp;TEXT($H142,"m/d"))&amp;IF($E142="높음"," 🔺","")&amp;IF(AND($F142&lt;&gt;"Done",$H142&lt;&gt;"",$H142&lt;TODAY())," ⚠",""))</f>
        <v/>
      </c>
    </row>
    <row r="143">
      <c r="A143" s="33">
        <f>IF($B143="","",COUNTA($B$2:$B143))</f>
        <v/>
      </c>
      <c r="B143" s="34" t="n"/>
      <c r="C143" s="34" t="n"/>
      <c r="D143" s="33" t="n"/>
      <c r="E143" s="33" t="n"/>
      <c r="F143" s="33" t="n"/>
      <c r="G143" s="35" t="n"/>
      <c r="H143" s="35" t="n"/>
      <c r="I143" s="36" t="n"/>
      <c r="J143" s="33">
        <f>IF($B143="","",IF($F143="Done","✔ 완료",IF($H143="","—",IF($H143&lt;TODAY(),"⚠ "&amp;(TODAY()-$H143)&amp;"일 지연",IF($H143=TODAY(),"🔔 오늘 마감","D-"&amp;($H143-TODAY()))))))</f>
        <v/>
      </c>
      <c r="K143" s="34" t="n"/>
      <c r="L143">
        <f>IF(AND($B143&lt;&gt;"",$F143="To Do"),COUNTIFS($B$2:$B143,"&lt;&gt;",$F$2:$F143,"To Do"),"")</f>
        <v/>
      </c>
      <c r="M143">
        <f>IF(AND($B143&lt;&gt;"",$F143="Doing"),COUNTIFS($B$2:$B143,"&lt;&gt;",$F$2:$F143,"Doing"),"")</f>
        <v/>
      </c>
      <c r="N143">
        <f>IF(AND($B143&lt;&gt;"",$F143="Done"),COUNTIFS($B$2:$B143,"&lt;&gt;",$F$2:$F143,"Done"),"")</f>
        <v/>
      </c>
      <c r="O143">
        <f>IF($B143="","",$B143&amp;"  |  "&amp;IF($D143="","담당자 미지정",$D143)&amp;IF($H143="",""," · ~"&amp;TEXT($H143,"m/d"))&amp;IF($E143="높음"," 🔺","")&amp;IF(AND($F143&lt;&gt;"Done",$H143&lt;&gt;"",$H143&lt;TODAY())," ⚠",""))</f>
        <v/>
      </c>
    </row>
    <row r="144">
      <c r="A144" s="33">
        <f>IF($B144="","",COUNTA($B$2:$B144))</f>
        <v/>
      </c>
      <c r="B144" s="34" t="n"/>
      <c r="C144" s="34" t="n"/>
      <c r="D144" s="33" t="n"/>
      <c r="E144" s="33" t="n"/>
      <c r="F144" s="33" t="n"/>
      <c r="G144" s="35" t="n"/>
      <c r="H144" s="35" t="n"/>
      <c r="I144" s="36" t="n"/>
      <c r="J144" s="33">
        <f>IF($B144="","",IF($F144="Done","✔ 완료",IF($H144="","—",IF($H144&lt;TODAY(),"⚠ "&amp;(TODAY()-$H144)&amp;"일 지연",IF($H144=TODAY(),"🔔 오늘 마감","D-"&amp;($H144-TODAY()))))))</f>
        <v/>
      </c>
      <c r="K144" s="34" t="n"/>
      <c r="L144">
        <f>IF(AND($B144&lt;&gt;"",$F144="To Do"),COUNTIFS($B$2:$B144,"&lt;&gt;",$F$2:$F144,"To Do"),"")</f>
        <v/>
      </c>
      <c r="M144">
        <f>IF(AND($B144&lt;&gt;"",$F144="Doing"),COUNTIFS($B$2:$B144,"&lt;&gt;",$F$2:$F144,"Doing"),"")</f>
        <v/>
      </c>
      <c r="N144">
        <f>IF(AND($B144&lt;&gt;"",$F144="Done"),COUNTIFS($B$2:$B144,"&lt;&gt;",$F$2:$F144,"Done"),"")</f>
        <v/>
      </c>
      <c r="O144">
        <f>IF($B144="","",$B144&amp;"  |  "&amp;IF($D144="","담당자 미지정",$D144)&amp;IF($H144="",""," · ~"&amp;TEXT($H144,"m/d"))&amp;IF($E144="높음"," 🔺","")&amp;IF(AND($F144&lt;&gt;"Done",$H144&lt;&gt;"",$H144&lt;TODAY())," ⚠",""))</f>
        <v/>
      </c>
    </row>
    <row r="145">
      <c r="A145" s="33">
        <f>IF($B145="","",COUNTA($B$2:$B145))</f>
        <v/>
      </c>
      <c r="B145" s="34" t="n"/>
      <c r="C145" s="34" t="n"/>
      <c r="D145" s="33" t="n"/>
      <c r="E145" s="33" t="n"/>
      <c r="F145" s="33" t="n"/>
      <c r="G145" s="35" t="n"/>
      <c r="H145" s="35" t="n"/>
      <c r="I145" s="36" t="n"/>
      <c r="J145" s="33">
        <f>IF($B145="","",IF($F145="Done","✔ 완료",IF($H145="","—",IF($H145&lt;TODAY(),"⚠ "&amp;(TODAY()-$H145)&amp;"일 지연",IF($H145=TODAY(),"🔔 오늘 마감","D-"&amp;($H145-TODAY()))))))</f>
        <v/>
      </c>
      <c r="K145" s="34" t="n"/>
      <c r="L145">
        <f>IF(AND($B145&lt;&gt;"",$F145="To Do"),COUNTIFS($B$2:$B145,"&lt;&gt;",$F$2:$F145,"To Do"),"")</f>
        <v/>
      </c>
      <c r="M145">
        <f>IF(AND($B145&lt;&gt;"",$F145="Doing"),COUNTIFS($B$2:$B145,"&lt;&gt;",$F$2:$F145,"Doing"),"")</f>
        <v/>
      </c>
      <c r="N145">
        <f>IF(AND($B145&lt;&gt;"",$F145="Done"),COUNTIFS($B$2:$B145,"&lt;&gt;",$F$2:$F145,"Done"),"")</f>
        <v/>
      </c>
      <c r="O145">
        <f>IF($B145="","",$B145&amp;"  |  "&amp;IF($D145="","담당자 미지정",$D145)&amp;IF($H145="",""," · ~"&amp;TEXT($H145,"m/d"))&amp;IF($E145="높음"," 🔺","")&amp;IF(AND($F145&lt;&gt;"Done",$H145&lt;&gt;"",$H145&lt;TODAY())," ⚠",""))</f>
        <v/>
      </c>
    </row>
    <row r="146">
      <c r="A146" s="33">
        <f>IF($B146="","",COUNTA($B$2:$B146))</f>
        <v/>
      </c>
      <c r="B146" s="34" t="n"/>
      <c r="C146" s="34" t="n"/>
      <c r="D146" s="33" t="n"/>
      <c r="E146" s="33" t="n"/>
      <c r="F146" s="33" t="n"/>
      <c r="G146" s="35" t="n"/>
      <c r="H146" s="35" t="n"/>
      <c r="I146" s="36" t="n"/>
      <c r="J146" s="33">
        <f>IF($B146="","",IF($F146="Done","✔ 완료",IF($H146="","—",IF($H146&lt;TODAY(),"⚠ "&amp;(TODAY()-$H146)&amp;"일 지연",IF($H146=TODAY(),"🔔 오늘 마감","D-"&amp;($H146-TODAY()))))))</f>
        <v/>
      </c>
      <c r="K146" s="34" t="n"/>
      <c r="L146">
        <f>IF(AND($B146&lt;&gt;"",$F146="To Do"),COUNTIFS($B$2:$B146,"&lt;&gt;",$F$2:$F146,"To Do"),"")</f>
        <v/>
      </c>
      <c r="M146">
        <f>IF(AND($B146&lt;&gt;"",$F146="Doing"),COUNTIFS($B$2:$B146,"&lt;&gt;",$F$2:$F146,"Doing"),"")</f>
        <v/>
      </c>
      <c r="N146">
        <f>IF(AND($B146&lt;&gt;"",$F146="Done"),COUNTIFS($B$2:$B146,"&lt;&gt;",$F$2:$F146,"Done"),"")</f>
        <v/>
      </c>
      <c r="O146">
        <f>IF($B146="","",$B146&amp;"  |  "&amp;IF($D146="","담당자 미지정",$D146)&amp;IF($H146="",""," · ~"&amp;TEXT($H146,"m/d"))&amp;IF($E146="높음"," 🔺","")&amp;IF(AND($F146&lt;&gt;"Done",$H146&lt;&gt;"",$H146&lt;TODAY())," ⚠",""))</f>
        <v/>
      </c>
    </row>
    <row r="147">
      <c r="A147" s="33">
        <f>IF($B147="","",COUNTA($B$2:$B147))</f>
        <v/>
      </c>
      <c r="B147" s="34" t="n"/>
      <c r="C147" s="34" t="n"/>
      <c r="D147" s="33" t="n"/>
      <c r="E147" s="33" t="n"/>
      <c r="F147" s="33" t="n"/>
      <c r="G147" s="35" t="n"/>
      <c r="H147" s="35" t="n"/>
      <c r="I147" s="36" t="n"/>
      <c r="J147" s="33">
        <f>IF($B147="","",IF($F147="Done","✔ 완료",IF($H147="","—",IF($H147&lt;TODAY(),"⚠ "&amp;(TODAY()-$H147)&amp;"일 지연",IF($H147=TODAY(),"🔔 오늘 마감","D-"&amp;($H147-TODAY()))))))</f>
        <v/>
      </c>
      <c r="K147" s="34" t="n"/>
      <c r="L147">
        <f>IF(AND($B147&lt;&gt;"",$F147="To Do"),COUNTIFS($B$2:$B147,"&lt;&gt;",$F$2:$F147,"To Do"),"")</f>
        <v/>
      </c>
      <c r="M147">
        <f>IF(AND($B147&lt;&gt;"",$F147="Doing"),COUNTIFS($B$2:$B147,"&lt;&gt;",$F$2:$F147,"Doing"),"")</f>
        <v/>
      </c>
      <c r="N147">
        <f>IF(AND($B147&lt;&gt;"",$F147="Done"),COUNTIFS($B$2:$B147,"&lt;&gt;",$F$2:$F147,"Done"),"")</f>
        <v/>
      </c>
      <c r="O147">
        <f>IF($B147="","",$B147&amp;"  |  "&amp;IF($D147="","담당자 미지정",$D147)&amp;IF($H147="",""," · ~"&amp;TEXT($H147,"m/d"))&amp;IF($E147="높음"," 🔺","")&amp;IF(AND($F147&lt;&gt;"Done",$H147&lt;&gt;"",$H147&lt;TODAY())," ⚠",""))</f>
        <v/>
      </c>
    </row>
    <row r="148">
      <c r="A148" s="33">
        <f>IF($B148="","",COUNTA($B$2:$B148))</f>
        <v/>
      </c>
      <c r="B148" s="34" t="n"/>
      <c r="C148" s="34" t="n"/>
      <c r="D148" s="33" t="n"/>
      <c r="E148" s="33" t="n"/>
      <c r="F148" s="33" t="n"/>
      <c r="G148" s="35" t="n"/>
      <c r="H148" s="35" t="n"/>
      <c r="I148" s="36" t="n"/>
      <c r="J148" s="33">
        <f>IF($B148="","",IF($F148="Done","✔ 완료",IF($H148="","—",IF($H148&lt;TODAY(),"⚠ "&amp;(TODAY()-$H148)&amp;"일 지연",IF($H148=TODAY(),"🔔 오늘 마감","D-"&amp;($H148-TODAY()))))))</f>
        <v/>
      </c>
      <c r="K148" s="34" t="n"/>
      <c r="L148">
        <f>IF(AND($B148&lt;&gt;"",$F148="To Do"),COUNTIFS($B$2:$B148,"&lt;&gt;",$F$2:$F148,"To Do"),"")</f>
        <v/>
      </c>
      <c r="M148">
        <f>IF(AND($B148&lt;&gt;"",$F148="Doing"),COUNTIFS($B$2:$B148,"&lt;&gt;",$F$2:$F148,"Doing"),"")</f>
        <v/>
      </c>
      <c r="N148">
        <f>IF(AND($B148&lt;&gt;"",$F148="Done"),COUNTIFS($B$2:$B148,"&lt;&gt;",$F$2:$F148,"Done"),"")</f>
        <v/>
      </c>
      <c r="O148">
        <f>IF($B148="","",$B148&amp;"  |  "&amp;IF($D148="","담당자 미지정",$D148)&amp;IF($H148="",""," · ~"&amp;TEXT($H148,"m/d"))&amp;IF($E148="높음"," 🔺","")&amp;IF(AND($F148&lt;&gt;"Done",$H148&lt;&gt;"",$H148&lt;TODAY())," ⚠",""))</f>
        <v/>
      </c>
    </row>
    <row r="149">
      <c r="A149" s="33">
        <f>IF($B149="","",COUNTA($B$2:$B149))</f>
        <v/>
      </c>
      <c r="B149" s="34" t="n"/>
      <c r="C149" s="34" t="n"/>
      <c r="D149" s="33" t="n"/>
      <c r="E149" s="33" t="n"/>
      <c r="F149" s="33" t="n"/>
      <c r="G149" s="35" t="n"/>
      <c r="H149" s="35" t="n"/>
      <c r="I149" s="36" t="n"/>
      <c r="J149" s="33">
        <f>IF($B149="","",IF($F149="Done","✔ 완료",IF($H149="","—",IF($H149&lt;TODAY(),"⚠ "&amp;(TODAY()-$H149)&amp;"일 지연",IF($H149=TODAY(),"🔔 오늘 마감","D-"&amp;($H149-TODAY()))))))</f>
        <v/>
      </c>
      <c r="K149" s="34" t="n"/>
      <c r="L149">
        <f>IF(AND($B149&lt;&gt;"",$F149="To Do"),COUNTIFS($B$2:$B149,"&lt;&gt;",$F$2:$F149,"To Do"),"")</f>
        <v/>
      </c>
      <c r="M149">
        <f>IF(AND($B149&lt;&gt;"",$F149="Doing"),COUNTIFS($B$2:$B149,"&lt;&gt;",$F$2:$F149,"Doing"),"")</f>
        <v/>
      </c>
      <c r="N149">
        <f>IF(AND($B149&lt;&gt;"",$F149="Done"),COUNTIFS($B$2:$B149,"&lt;&gt;",$F$2:$F149,"Done"),"")</f>
        <v/>
      </c>
      <c r="O149">
        <f>IF($B149="","",$B149&amp;"  |  "&amp;IF($D149="","담당자 미지정",$D149)&amp;IF($H149="",""," · ~"&amp;TEXT($H149,"m/d"))&amp;IF($E149="높음"," 🔺","")&amp;IF(AND($F149&lt;&gt;"Done",$H149&lt;&gt;"",$H149&lt;TODAY())," ⚠",""))</f>
        <v/>
      </c>
    </row>
    <row r="150">
      <c r="A150" s="33">
        <f>IF($B150="","",COUNTA($B$2:$B150))</f>
        <v/>
      </c>
      <c r="B150" s="34" t="n"/>
      <c r="C150" s="34" t="n"/>
      <c r="D150" s="33" t="n"/>
      <c r="E150" s="33" t="n"/>
      <c r="F150" s="33" t="n"/>
      <c r="G150" s="35" t="n"/>
      <c r="H150" s="35" t="n"/>
      <c r="I150" s="36" t="n"/>
      <c r="J150" s="33">
        <f>IF($B150="","",IF($F150="Done","✔ 완료",IF($H150="","—",IF($H150&lt;TODAY(),"⚠ "&amp;(TODAY()-$H150)&amp;"일 지연",IF($H150=TODAY(),"🔔 오늘 마감","D-"&amp;($H150-TODAY()))))))</f>
        <v/>
      </c>
      <c r="K150" s="34" t="n"/>
      <c r="L150">
        <f>IF(AND($B150&lt;&gt;"",$F150="To Do"),COUNTIFS($B$2:$B150,"&lt;&gt;",$F$2:$F150,"To Do"),"")</f>
        <v/>
      </c>
      <c r="M150">
        <f>IF(AND($B150&lt;&gt;"",$F150="Doing"),COUNTIFS($B$2:$B150,"&lt;&gt;",$F$2:$F150,"Doing"),"")</f>
        <v/>
      </c>
      <c r="N150">
        <f>IF(AND($B150&lt;&gt;"",$F150="Done"),COUNTIFS($B$2:$B150,"&lt;&gt;",$F$2:$F150,"Done"),"")</f>
        <v/>
      </c>
      <c r="O150">
        <f>IF($B150="","",$B150&amp;"  |  "&amp;IF($D150="","담당자 미지정",$D150)&amp;IF($H150="",""," · ~"&amp;TEXT($H150,"m/d"))&amp;IF($E150="높음"," 🔺","")&amp;IF(AND($F150&lt;&gt;"Done",$H150&lt;&gt;"",$H150&lt;TODAY())," ⚠",""))</f>
        <v/>
      </c>
    </row>
    <row r="151">
      <c r="A151" s="33">
        <f>IF($B151="","",COUNTA($B$2:$B151))</f>
        <v/>
      </c>
      <c r="B151" s="34" t="n"/>
      <c r="C151" s="34" t="n"/>
      <c r="D151" s="33" t="n"/>
      <c r="E151" s="33" t="n"/>
      <c r="F151" s="33" t="n"/>
      <c r="G151" s="35" t="n"/>
      <c r="H151" s="35" t="n"/>
      <c r="I151" s="36" t="n"/>
      <c r="J151" s="33">
        <f>IF($B151="","",IF($F151="Done","✔ 완료",IF($H151="","—",IF($H151&lt;TODAY(),"⚠ "&amp;(TODAY()-$H151)&amp;"일 지연",IF($H151=TODAY(),"🔔 오늘 마감","D-"&amp;($H151-TODAY()))))))</f>
        <v/>
      </c>
      <c r="K151" s="34" t="n"/>
      <c r="L151">
        <f>IF(AND($B151&lt;&gt;"",$F151="To Do"),COUNTIFS($B$2:$B151,"&lt;&gt;",$F$2:$F151,"To Do"),"")</f>
        <v/>
      </c>
      <c r="M151">
        <f>IF(AND($B151&lt;&gt;"",$F151="Doing"),COUNTIFS($B$2:$B151,"&lt;&gt;",$F$2:$F151,"Doing"),"")</f>
        <v/>
      </c>
      <c r="N151">
        <f>IF(AND($B151&lt;&gt;"",$F151="Done"),COUNTIFS($B$2:$B151,"&lt;&gt;",$F$2:$F151,"Done"),"")</f>
        <v/>
      </c>
      <c r="O151">
        <f>IF($B151="","",$B151&amp;"  |  "&amp;IF($D151="","담당자 미지정",$D151)&amp;IF($H151="",""," · ~"&amp;TEXT($H151,"m/d"))&amp;IF($E151="높음"," 🔺","")&amp;IF(AND($F151&lt;&gt;"Done",$H151&lt;&gt;"",$H151&lt;TODAY())," ⚠",""))</f>
        <v/>
      </c>
    </row>
    <row r="152">
      <c r="A152" s="33">
        <f>IF($B152="","",COUNTA($B$2:$B152))</f>
        <v/>
      </c>
      <c r="B152" s="34" t="n"/>
      <c r="C152" s="34" t="n"/>
      <c r="D152" s="33" t="n"/>
      <c r="E152" s="33" t="n"/>
      <c r="F152" s="33" t="n"/>
      <c r="G152" s="35" t="n"/>
      <c r="H152" s="35" t="n"/>
      <c r="I152" s="36" t="n"/>
      <c r="J152" s="33">
        <f>IF($B152="","",IF($F152="Done","✔ 완료",IF($H152="","—",IF($H152&lt;TODAY(),"⚠ "&amp;(TODAY()-$H152)&amp;"일 지연",IF($H152=TODAY(),"🔔 오늘 마감","D-"&amp;($H152-TODAY()))))))</f>
        <v/>
      </c>
      <c r="K152" s="34" t="n"/>
      <c r="L152">
        <f>IF(AND($B152&lt;&gt;"",$F152="To Do"),COUNTIFS($B$2:$B152,"&lt;&gt;",$F$2:$F152,"To Do"),"")</f>
        <v/>
      </c>
      <c r="M152">
        <f>IF(AND($B152&lt;&gt;"",$F152="Doing"),COUNTIFS($B$2:$B152,"&lt;&gt;",$F$2:$F152,"Doing"),"")</f>
        <v/>
      </c>
      <c r="N152">
        <f>IF(AND($B152&lt;&gt;"",$F152="Done"),COUNTIFS($B$2:$B152,"&lt;&gt;",$F$2:$F152,"Done"),"")</f>
        <v/>
      </c>
      <c r="O152">
        <f>IF($B152="","",$B152&amp;"  |  "&amp;IF($D152="","담당자 미지정",$D152)&amp;IF($H152="",""," · ~"&amp;TEXT($H152,"m/d"))&amp;IF($E152="높음"," 🔺","")&amp;IF(AND($F152&lt;&gt;"Done",$H152&lt;&gt;"",$H152&lt;TODAY())," ⚠",""))</f>
        <v/>
      </c>
    </row>
    <row r="153">
      <c r="A153" s="33">
        <f>IF($B153="","",COUNTA($B$2:$B153))</f>
        <v/>
      </c>
      <c r="B153" s="34" t="n"/>
      <c r="C153" s="34" t="n"/>
      <c r="D153" s="33" t="n"/>
      <c r="E153" s="33" t="n"/>
      <c r="F153" s="33" t="n"/>
      <c r="G153" s="35" t="n"/>
      <c r="H153" s="35" t="n"/>
      <c r="I153" s="36" t="n"/>
      <c r="J153" s="33">
        <f>IF($B153="","",IF($F153="Done","✔ 완료",IF($H153="","—",IF($H153&lt;TODAY(),"⚠ "&amp;(TODAY()-$H153)&amp;"일 지연",IF($H153=TODAY(),"🔔 오늘 마감","D-"&amp;($H153-TODAY()))))))</f>
        <v/>
      </c>
      <c r="K153" s="34" t="n"/>
      <c r="L153">
        <f>IF(AND($B153&lt;&gt;"",$F153="To Do"),COUNTIFS($B$2:$B153,"&lt;&gt;",$F$2:$F153,"To Do"),"")</f>
        <v/>
      </c>
      <c r="M153">
        <f>IF(AND($B153&lt;&gt;"",$F153="Doing"),COUNTIFS($B$2:$B153,"&lt;&gt;",$F$2:$F153,"Doing"),"")</f>
        <v/>
      </c>
      <c r="N153">
        <f>IF(AND($B153&lt;&gt;"",$F153="Done"),COUNTIFS($B$2:$B153,"&lt;&gt;",$F$2:$F153,"Done"),"")</f>
        <v/>
      </c>
      <c r="O153">
        <f>IF($B153="","",$B153&amp;"  |  "&amp;IF($D153="","담당자 미지정",$D153)&amp;IF($H153="",""," · ~"&amp;TEXT($H153,"m/d"))&amp;IF($E153="높음"," 🔺","")&amp;IF(AND($F153&lt;&gt;"Done",$H153&lt;&gt;"",$H153&lt;TODAY())," ⚠",""))</f>
        <v/>
      </c>
    </row>
    <row r="154">
      <c r="A154" s="33">
        <f>IF($B154="","",COUNTA($B$2:$B154))</f>
        <v/>
      </c>
      <c r="B154" s="34" t="n"/>
      <c r="C154" s="34" t="n"/>
      <c r="D154" s="33" t="n"/>
      <c r="E154" s="33" t="n"/>
      <c r="F154" s="33" t="n"/>
      <c r="G154" s="35" t="n"/>
      <c r="H154" s="35" t="n"/>
      <c r="I154" s="36" t="n"/>
      <c r="J154" s="33">
        <f>IF($B154="","",IF($F154="Done","✔ 완료",IF($H154="","—",IF($H154&lt;TODAY(),"⚠ "&amp;(TODAY()-$H154)&amp;"일 지연",IF($H154=TODAY(),"🔔 오늘 마감","D-"&amp;($H154-TODAY()))))))</f>
        <v/>
      </c>
      <c r="K154" s="34" t="n"/>
      <c r="L154">
        <f>IF(AND($B154&lt;&gt;"",$F154="To Do"),COUNTIFS($B$2:$B154,"&lt;&gt;",$F$2:$F154,"To Do"),"")</f>
        <v/>
      </c>
      <c r="M154">
        <f>IF(AND($B154&lt;&gt;"",$F154="Doing"),COUNTIFS($B$2:$B154,"&lt;&gt;",$F$2:$F154,"Doing"),"")</f>
        <v/>
      </c>
      <c r="N154">
        <f>IF(AND($B154&lt;&gt;"",$F154="Done"),COUNTIFS($B$2:$B154,"&lt;&gt;",$F$2:$F154,"Done"),"")</f>
        <v/>
      </c>
      <c r="O154">
        <f>IF($B154="","",$B154&amp;"  |  "&amp;IF($D154="","담당자 미지정",$D154)&amp;IF($H154="",""," · ~"&amp;TEXT($H154,"m/d"))&amp;IF($E154="높음"," 🔺","")&amp;IF(AND($F154&lt;&gt;"Done",$H154&lt;&gt;"",$H154&lt;TODAY())," ⚠",""))</f>
        <v/>
      </c>
    </row>
    <row r="155">
      <c r="A155" s="33">
        <f>IF($B155="","",COUNTA($B$2:$B155))</f>
        <v/>
      </c>
      <c r="B155" s="34" t="n"/>
      <c r="C155" s="34" t="n"/>
      <c r="D155" s="33" t="n"/>
      <c r="E155" s="33" t="n"/>
      <c r="F155" s="33" t="n"/>
      <c r="G155" s="35" t="n"/>
      <c r="H155" s="35" t="n"/>
      <c r="I155" s="36" t="n"/>
      <c r="J155" s="33">
        <f>IF($B155="","",IF($F155="Done","✔ 완료",IF($H155="","—",IF($H155&lt;TODAY(),"⚠ "&amp;(TODAY()-$H155)&amp;"일 지연",IF($H155=TODAY(),"🔔 오늘 마감","D-"&amp;($H155-TODAY()))))))</f>
        <v/>
      </c>
      <c r="K155" s="34" t="n"/>
      <c r="L155">
        <f>IF(AND($B155&lt;&gt;"",$F155="To Do"),COUNTIFS($B$2:$B155,"&lt;&gt;",$F$2:$F155,"To Do"),"")</f>
        <v/>
      </c>
      <c r="M155">
        <f>IF(AND($B155&lt;&gt;"",$F155="Doing"),COUNTIFS($B$2:$B155,"&lt;&gt;",$F$2:$F155,"Doing"),"")</f>
        <v/>
      </c>
      <c r="N155">
        <f>IF(AND($B155&lt;&gt;"",$F155="Done"),COUNTIFS($B$2:$B155,"&lt;&gt;",$F$2:$F155,"Done"),"")</f>
        <v/>
      </c>
      <c r="O155">
        <f>IF($B155="","",$B155&amp;"  |  "&amp;IF($D155="","담당자 미지정",$D155)&amp;IF($H155="",""," · ~"&amp;TEXT($H155,"m/d"))&amp;IF($E155="높음"," 🔺","")&amp;IF(AND($F155&lt;&gt;"Done",$H155&lt;&gt;"",$H155&lt;TODAY())," ⚠",""))</f>
        <v/>
      </c>
    </row>
    <row r="156">
      <c r="A156" s="33">
        <f>IF($B156="","",COUNTA($B$2:$B156))</f>
        <v/>
      </c>
      <c r="B156" s="34" t="n"/>
      <c r="C156" s="34" t="n"/>
      <c r="D156" s="33" t="n"/>
      <c r="E156" s="33" t="n"/>
      <c r="F156" s="33" t="n"/>
      <c r="G156" s="35" t="n"/>
      <c r="H156" s="35" t="n"/>
      <c r="I156" s="36" t="n"/>
      <c r="J156" s="33">
        <f>IF($B156="","",IF($F156="Done","✔ 완료",IF($H156="","—",IF($H156&lt;TODAY(),"⚠ "&amp;(TODAY()-$H156)&amp;"일 지연",IF($H156=TODAY(),"🔔 오늘 마감","D-"&amp;($H156-TODAY()))))))</f>
        <v/>
      </c>
      <c r="K156" s="34" t="n"/>
      <c r="L156">
        <f>IF(AND($B156&lt;&gt;"",$F156="To Do"),COUNTIFS($B$2:$B156,"&lt;&gt;",$F$2:$F156,"To Do"),"")</f>
        <v/>
      </c>
      <c r="M156">
        <f>IF(AND($B156&lt;&gt;"",$F156="Doing"),COUNTIFS($B$2:$B156,"&lt;&gt;",$F$2:$F156,"Doing"),"")</f>
        <v/>
      </c>
      <c r="N156">
        <f>IF(AND($B156&lt;&gt;"",$F156="Done"),COUNTIFS($B$2:$B156,"&lt;&gt;",$F$2:$F156,"Done"),"")</f>
        <v/>
      </c>
      <c r="O156">
        <f>IF($B156="","",$B156&amp;"  |  "&amp;IF($D156="","담당자 미지정",$D156)&amp;IF($H156="",""," · ~"&amp;TEXT($H156,"m/d"))&amp;IF($E156="높음"," 🔺","")&amp;IF(AND($F156&lt;&gt;"Done",$H156&lt;&gt;"",$H156&lt;TODAY())," ⚠",""))</f>
        <v/>
      </c>
    </row>
    <row r="157">
      <c r="A157" s="33">
        <f>IF($B157="","",COUNTA($B$2:$B157))</f>
        <v/>
      </c>
      <c r="B157" s="34" t="n"/>
      <c r="C157" s="34" t="n"/>
      <c r="D157" s="33" t="n"/>
      <c r="E157" s="33" t="n"/>
      <c r="F157" s="33" t="n"/>
      <c r="G157" s="35" t="n"/>
      <c r="H157" s="35" t="n"/>
      <c r="I157" s="36" t="n"/>
      <c r="J157" s="33">
        <f>IF($B157="","",IF($F157="Done","✔ 완료",IF($H157="","—",IF($H157&lt;TODAY(),"⚠ "&amp;(TODAY()-$H157)&amp;"일 지연",IF($H157=TODAY(),"🔔 오늘 마감","D-"&amp;($H157-TODAY()))))))</f>
        <v/>
      </c>
      <c r="K157" s="34" t="n"/>
      <c r="L157">
        <f>IF(AND($B157&lt;&gt;"",$F157="To Do"),COUNTIFS($B$2:$B157,"&lt;&gt;",$F$2:$F157,"To Do"),"")</f>
        <v/>
      </c>
      <c r="M157">
        <f>IF(AND($B157&lt;&gt;"",$F157="Doing"),COUNTIFS($B$2:$B157,"&lt;&gt;",$F$2:$F157,"Doing"),"")</f>
        <v/>
      </c>
      <c r="N157">
        <f>IF(AND($B157&lt;&gt;"",$F157="Done"),COUNTIFS($B$2:$B157,"&lt;&gt;",$F$2:$F157,"Done"),"")</f>
        <v/>
      </c>
      <c r="O157">
        <f>IF($B157="","",$B157&amp;"  |  "&amp;IF($D157="","담당자 미지정",$D157)&amp;IF($H157="",""," · ~"&amp;TEXT($H157,"m/d"))&amp;IF($E157="높음"," 🔺","")&amp;IF(AND($F157&lt;&gt;"Done",$H157&lt;&gt;"",$H157&lt;TODAY())," ⚠",""))</f>
        <v/>
      </c>
    </row>
    <row r="158">
      <c r="A158" s="33">
        <f>IF($B158="","",COUNTA($B$2:$B158))</f>
        <v/>
      </c>
      <c r="B158" s="34" t="n"/>
      <c r="C158" s="34" t="n"/>
      <c r="D158" s="33" t="n"/>
      <c r="E158" s="33" t="n"/>
      <c r="F158" s="33" t="n"/>
      <c r="G158" s="35" t="n"/>
      <c r="H158" s="35" t="n"/>
      <c r="I158" s="36" t="n"/>
      <c r="J158" s="33">
        <f>IF($B158="","",IF($F158="Done","✔ 완료",IF($H158="","—",IF($H158&lt;TODAY(),"⚠ "&amp;(TODAY()-$H158)&amp;"일 지연",IF($H158=TODAY(),"🔔 오늘 마감","D-"&amp;($H158-TODAY()))))))</f>
        <v/>
      </c>
      <c r="K158" s="34" t="n"/>
      <c r="L158">
        <f>IF(AND($B158&lt;&gt;"",$F158="To Do"),COUNTIFS($B$2:$B158,"&lt;&gt;",$F$2:$F158,"To Do"),"")</f>
        <v/>
      </c>
      <c r="M158">
        <f>IF(AND($B158&lt;&gt;"",$F158="Doing"),COUNTIFS($B$2:$B158,"&lt;&gt;",$F$2:$F158,"Doing"),"")</f>
        <v/>
      </c>
      <c r="N158">
        <f>IF(AND($B158&lt;&gt;"",$F158="Done"),COUNTIFS($B$2:$B158,"&lt;&gt;",$F$2:$F158,"Done"),"")</f>
        <v/>
      </c>
      <c r="O158">
        <f>IF($B158="","",$B158&amp;"  |  "&amp;IF($D158="","담당자 미지정",$D158)&amp;IF($H158="",""," · ~"&amp;TEXT($H158,"m/d"))&amp;IF($E158="높음"," 🔺","")&amp;IF(AND($F158&lt;&gt;"Done",$H158&lt;&gt;"",$H158&lt;TODAY())," ⚠",""))</f>
        <v/>
      </c>
    </row>
    <row r="159">
      <c r="A159" s="33">
        <f>IF($B159="","",COUNTA($B$2:$B159))</f>
        <v/>
      </c>
      <c r="B159" s="34" t="n"/>
      <c r="C159" s="34" t="n"/>
      <c r="D159" s="33" t="n"/>
      <c r="E159" s="33" t="n"/>
      <c r="F159" s="33" t="n"/>
      <c r="G159" s="35" t="n"/>
      <c r="H159" s="35" t="n"/>
      <c r="I159" s="36" t="n"/>
      <c r="J159" s="33">
        <f>IF($B159="","",IF($F159="Done","✔ 완료",IF($H159="","—",IF($H159&lt;TODAY(),"⚠ "&amp;(TODAY()-$H159)&amp;"일 지연",IF($H159=TODAY(),"🔔 오늘 마감","D-"&amp;($H159-TODAY()))))))</f>
        <v/>
      </c>
      <c r="K159" s="34" t="n"/>
      <c r="L159">
        <f>IF(AND($B159&lt;&gt;"",$F159="To Do"),COUNTIFS($B$2:$B159,"&lt;&gt;",$F$2:$F159,"To Do"),"")</f>
        <v/>
      </c>
      <c r="M159">
        <f>IF(AND($B159&lt;&gt;"",$F159="Doing"),COUNTIFS($B$2:$B159,"&lt;&gt;",$F$2:$F159,"Doing"),"")</f>
        <v/>
      </c>
      <c r="N159">
        <f>IF(AND($B159&lt;&gt;"",$F159="Done"),COUNTIFS($B$2:$B159,"&lt;&gt;",$F$2:$F159,"Done"),"")</f>
        <v/>
      </c>
      <c r="O159">
        <f>IF($B159="","",$B159&amp;"  |  "&amp;IF($D159="","담당자 미지정",$D159)&amp;IF($H159="",""," · ~"&amp;TEXT($H159,"m/d"))&amp;IF($E159="높음"," 🔺","")&amp;IF(AND($F159&lt;&gt;"Done",$H159&lt;&gt;"",$H159&lt;TODAY())," ⚠",""))</f>
        <v/>
      </c>
    </row>
    <row r="160">
      <c r="A160" s="33">
        <f>IF($B160="","",COUNTA($B$2:$B160))</f>
        <v/>
      </c>
      <c r="B160" s="34" t="n"/>
      <c r="C160" s="34" t="n"/>
      <c r="D160" s="33" t="n"/>
      <c r="E160" s="33" t="n"/>
      <c r="F160" s="33" t="n"/>
      <c r="G160" s="35" t="n"/>
      <c r="H160" s="35" t="n"/>
      <c r="I160" s="36" t="n"/>
      <c r="J160" s="33">
        <f>IF($B160="","",IF($F160="Done","✔ 완료",IF($H160="","—",IF($H160&lt;TODAY(),"⚠ "&amp;(TODAY()-$H160)&amp;"일 지연",IF($H160=TODAY(),"🔔 오늘 마감","D-"&amp;($H160-TODAY()))))))</f>
        <v/>
      </c>
      <c r="K160" s="34" t="n"/>
      <c r="L160">
        <f>IF(AND($B160&lt;&gt;"",$F160="To Do"),COUNTIFS($B$2:$B160,"&lt;&gt;",$F$2:$F160,"To Do"),"")</f>
        <v/>
      </c>
      <c r="M160">
        <f>IF(AND($B160&lt;&gt;"",$F160="Doing"),COUNTIFS($B$2:$B160,"&lt;&gt;",$F$2:$F160,"Doing"),"")</f>
        <v/>
      </c>
      <c r="N160">
        <f>IF(AND($B160&lt;&gt;"",$F160="Done"),COUNTIFS($B$2:$B160,"&lt;&gt;",$F$2:$F160,"Done"),"")</f>
        <v/>
      </c>
      <c r="O160">
        <f>IF($B160="","",$B160&amp;"  |  "&amp;IF($D160="","담당자 미지정",$D160)&amp;IF($H160="",""," · ~"&amp;TEXT($H160,"m/d"))&amp;IF($E160="높음"," 🔺","")&amp;IF(AND($F160&lt;&gt;"Done",$H160&lt;&gt;"",$H160&lt;TODAY())," ⚠",""))</f>
        <v/>
      </c>
    </row>
    <row r="161">
      <c r="A161" s="33">
        <f>IF($B161="","",COUNTA($B$2:$B161))</f>
        <v/>
      </c>
      <c r="B161" s="34" t="n"/>
      <c r="C161" s="34" t="n"/>
      <c r="D161" s="33" t="n"/>
      <c r="E161" s="33" t="n"/>
      <c r="F161" s="33" t="n"/>
      <c r="G161" s="35" t="n"/>
      <c r="H161" s="35" t="n"/>
      <c r="I161" s="36" t="n"/>
      <c r="J161" s="33">
        <f>IF($B161="","",IF($F161="Done","✔ 완료",IF($H161="","—",IF($H161&lt;TODAY(),"⚠ "&amp;(TODAY()-$H161)&amp;"일 지연",IF($H161=TODAY(),"🔔 오늘 마감","D-"&amp;($H161-TODAY()))))))</f>
        <v/>
      </c>
      <c r="K161" s="34" t="n"/>
      <c r="L161">
        <f>IF(AND($B161&lt;&gt;"",$F161="To Do"),COUNTIFS($B$2:$B161,"&lt;&gt;",$F$2:$F161,"To Do"),"")</f>
        <v/>
      </c>
      <c r="M161">
        <f>IF(AND($B161&lt;&gt;"",$F161="Doing"),COUNTIFS($B$2:$B161,"&lt;&gt;",$F$2:$F161,"Doing"),"")</f>
        <v/>
      </c>
      <c r="N161">
        <f>IF(AND($B161&lt;&gt;"",$F161="Done"),COUNTIFS($B$2:$B161,"&lt;&gt;",$F$2:$F161,"Done"),"")</f>
        <v/>
      </c>
      <c r="O161">
        <f>IF($B161="","",$B161&amp;"  |  "&amp;IF($D161="","담당자 미지정",$D161)&amp;IF($H161="",""," · ~"&amp;TEXT($H161,"m/d"))&amp;IF($E161="높음"," 🔺","")&amp;IF(AND($F161&lt;&gt;"Done",$H161&lt;&gt;"",$H161&lt;TODAY())," ⚠",""))</f>
        <v/>
      </c>
    </row>
    <row r="162">
      <c r="A162" s="33">
        <f>IF($B162="","",COUNTA($B$2:$B162))</f>
        <v/>
      </c>
      <c r="B162" s="34" t="n"/>
      <c r="C162" s="34" t="n"/>
      <c r="D162" s="33" t="n"/>
      <c r="E162" s="33" t="n"/>
      <c r="F162" s="33" t="n"/>
      <c r="G162" s="35" t="n"/>
      <c r="H162" s="35" t="n"/>
      <c r="I162" s="36" t="n"/>
      <c r="J162" s="33">
        <f>IF($B162="","",IF($F162="Done","✔ 완료",IF($H162="","—",IF($H162&lt;TODAY(),"⚠ "&amp;(TODAY()-$H162)&amp;"일 지연",IF($H162=TODAY(),"🔔 오늘 마감","D-"&amp;($H162-TODAY()))))))</f>
        <v/>
      </c>
      <c r="K162" s="34" t="n"/>
      <c r="L162">
        <f>IF(AND($B162&lt;&gt;"",$F162="To Do"),COUNTIFS($B$2:$B162,"&lt;&gt;",$F$2:$F162,"To Do"),"")</f>
        <v/>
      </c>
      <c r="M162">
        <f>IF(AND($B162&lt;&gt;"",$F162="Doing"),COUNTIFS($B$2:$B162,"&lt;&gt;",$F$2:$F162,"Doing"),"")</f>
        <v/>
      </c>
      <c r="N162">
        <f>IF(AND($B162&lt;&gt;"",$F162="Done"),COUNTIFS($B$2:$B162,"&lt;&gt;",$F$2:$F162,"Done"),"")</f>
        <v/>
      </c>
      <c r="O162">
        <f>IF($B162="","",$B162&amp;"  |  "&amp;IF($D162="","담당자 미지정",$D162)&amp;IF($H162="",""," · ~"&amp;TEXT($H162,"m/d"))&amp;IF($E162="높음"," 🔺","")&amp;IF(AND($F162&lt;&gt;"Done",$H162&lt;&gt;"",$H162&lt;TODAY())," ⚠",""))</f>
        <v/>
      </c>
    </row>
    <row r="163">
      <c r="A163" s="33">
        <f>IF($B163="","",COUNTA($B$2:$B163))</f>
        <v/>
      </c>
      <c r="B163" s="34" t="n"/>
      <c r="C163" s="34" t="n"/>
      <c r="D163" s="33" t="n"/>
      <c r="E163" s="33" t="n"/>
      <c r="F163" s="33" t="n"/>
      <c r="G163" s="35" t="n"/>
      <c r="H163" s="35" t="n"/>
      <c r="I163" s="36" t="n"/>
      <c r="J163" s="33">
        <f>IF($B163="","",IF($F163="Done","✔ 완료",IF($H163="","—",IF($H163&lt;TODAY(),"⚠ "&amp;(TODAY()-$H163)&amp;"일 지연",IF($H163=TODAY(),"🔔 오늘 마감","D-"&amp;($H163-TODAY()))))))</f>
        <v/>
      </c>
      <c r="K163" s="34" t="n"/>
      <c r="L163">
        <f>IF(AND($B163&lt;&gt;"",$F163="To Do"),COUNTIFS($B$2:$B163,"&lt;&gt;",$F$2:$F163,"To Do"),"")</f>
        <v/>
      </c>
      <c r="M163">
        <f>IF(AND($B163&lt;&gt;"",$F163="Doing"),COUNTIFS($B$2:$B163,"&lt;&gt;",$F$2:$F163,"Doing"),"")</f>
        <v/>
      </c>
      <c r="N163">
        <f>IF(AND($B163&lt;&gt;"",$F163="Done"),COUNTIFS($B$2:$B163,"&lt;&gt;",$F$2:$F163,"Done"),"")</f>
        <v/>
      </c>
      <c r="O163">
        <f>IF($B163="","",$B163&amp;"  |  "&amp;IF($D163="","담당자 미지정",$D163)&amp;IF($H163="",""," · ~"&amp;TEXT($H163,"m/d"))&amp;IF($E163="높음"," 🔺","")&amp;IF(AND($F163&lt;&gt;"Done",$H163&lt;&gt;"",$H163&lt;TODAY())," ⚠",""))</f>
        <v/>
      </c>
    </row>
    <row r="164">
      <c r="A164" s="33">
        <f>IF($B164="","",COUNTA($B$2:$B164))</f>
        <v/>
      </c>
      <c r="B164" s="34" t="n"/>
      <c r="C164" s="34" t="n"/>
      <c r="D164" s="33" t="n"/>
      <c r="E164" s="33" t="n"/>
      <c r="F164" s="33" t="n"/>
      <c r="G164" s="35" t="n"/>
      <c r="H164" s="35" t="n"/>
      <c r="I164" s="36" t="n"/>
      <c r="J164" s="33">
        <f>IF($B164="","",IF($F164="Done","✔ 완료",IF($H164="","—",IF($H164&lt;TODAY(),"⚠ "&amp;(TODAY()-$H164)&amp;"일 지연",IF($H164=TODAY(),"🔔 오늘 마감","D-"&amp;($H164-TODAY()))))))</f>
        <v/>
      </c>
      <c r="K164" s="34" t="n"/>
      <c r="L164">
        <f>IF(AND($B164&lt;&gt;"",$F164="To Do"),COUNTIFS($B$2:$B164,"&lt;&gt;",$F$2:$F164,"To Do"),"")</f>
        <v/>
      </c>
      <c r="M164">
        <f>IF(AND($B164&lt;&gt;"",$F164="Doing"),COUNTIFS($B$2:$B164,"&lt;&gt;",$F$2:$F164,"Doing"),"")</f>
        <v/>
      </c>
      <c r="N164">
        <f>IF(AND($B164&lt;&gt;"",$F164="Done"),COUNTIFS($B$2:$B164,"&lt;&gt;",$F$2:$F164,"Done"),"")</f>
        <v/>
      </c>
      <c r="O164">
        <f>IF($B164="","",$B164&amp;"  |  "&amp;IF($D164="","담당자 미지정",$D164)&amp;IF($H164="",""," · ~"&amp;TEXT($H164,"m/d"))&amp;IF($E164="높음"," 🔺","")&amp;IF(AND($F164&lt;&gt;"Done",$H164&lt;&gt;"",$H164&lt;TODAY())," ⚠",""))</f>
        <v/>
      </c>
    </row>
    <row r="165">
      <c r="A165" s="33">
        <f>IF($B165="","",COUNTA($B$2:$B165))</f>
        <v/>
      </c>
      <c r="B165" s="34" t="n"/>
      <c r="C165" s="34" t="n"/>
      <c r="D165" s="33" t="n"/>
      <c r="E165" s="33" t="n"/>
      <c r="F165" s="33" t="n"/>
      <c r="G165" s="35" t="n"/>
      <c r="H165" s="35" t="n"/>
      <c r="I165" s="36" t="n"/>
      <c r="J165" s="33">
        <f>IF($B165="","",IF($F165="Done","✔ 완료",IF($H165="","—",IF($H165&lt;TODAY(),"⚠ "&amp;(TODAY()-$H165)&amp;"일 지연",IF($H165=TODAY(),"🔔 오늘 마감","D-"&amp;($H165-TODAY()))))))</f>
        <v/>
      </c>
      <c r="K165" s="34" t="n"/>
      <c r="L165">
        <f>IF(AND($B165&lt;&gt;"",$F165="To Do"),COUNTIFS($B$2:$B165,"&lt;&gt;",$F$2:$F165,"To Do"),"")</f>
        <v/>
      </c>
      <c r="M165">
        <f>IF(AND($B165&lt;&gt;"",$F165="Doing"),COUNTIFS($B$2:$B165,"&lt;&gt;",$F$2:$F165,"Doing"),"")</f>
        <v/>
      </c>
      <c r="N165">
        <f>IF(AND($B165&lt;&gt;"",$F165="Done"),COUNTIFS($B$2:$B165,"&lt;&gt;",$F$2:$F165,"Done"),"")</f>
        <v/>
      </c>
      <c r="O165">
        <f>IF($B165="","",$B165&amp;"  |  "&amp;IF($D165="","담당자 미지정",$D165)&amp;IF($H165="",""," · ~"&amp;TEXT($H165,"m/d"))&amp;IF($E165="높음"," 🔺","")&amp;IF(AND($F165&lt;&gt;"Done",$H165&lt;&gt;"",$H165&lt;TODAY())," ⚠",""))</f>
        <v/>
      </c>
    </row>
    <row r="166">
      <c r="A166" s="33">
        <f>IF($B166="","",COUNTA($B$2:$B166))</f>
        <v/>
      </c>
      <c r="B166" s="34" t="n"/>
      <c r="C166" s="34" t="n"/>
      <c r="D166" s="33" t="n"/>
      <c r="E166" s="33" t="n"/>
      <c r="F166" s="33" t="n"/>
      <c r="G166" s="35" t="n"/>
      <c r="H166" s="35" t="n"/>
      <c r="I166" s="36" t="n"/>
      <c r="J166" s="33">
        <f>IF($B166="","",IF($F166="Done","✔ 완료",IF($H166="","—",IF($H166&lt;TODAY(),"⚠ "&amp;(TODAY()-$H166)&amp;"일 지연",IF($H166=TODAY(),"🔔 오늘 마감","D-"&amp;($H166-TODAY()))))))</f>
        <v/>
      </c>
      <c r="K166" s="34" t="n"/>
      <c r="L166">
        <f>IF(AND($B166&lt;&gt;"",$F166="To Do"),COUNTIFS($B$2:$B166,"&lt;&gt;",$F$2:$F166,"To Do"),"")</f>
        <v/>
      </c>
      <c r="M166">
        <f>IF(AND($B166&lt;&gt;"",$F166="Doing"),COUNTIFS($B$2:$B166,"&lt;&gt;",$F$2:$F166,"Doing"),"")</f>
        <v/>
      </c>
      <c r="N166">
        <f>IF(AND($B166&lt;&gt;"",$F166="Done"),COUNTIFS($B$2:$B166,"&lt;&gt;",$F$2:$F166,"Done"),"")</f>
        <v/>
      </c>
      <c r="O166">
        <f>IF($B166="","",$B166&amp;"  |  "&amp;IF($D166="","담당자 미지정",$D166)&amp;IF($H166="",""," · ~"&amp;TEXT($H166,"m/d"))&amp;IF($E166="높음"," 🔺","")&amp;IF(AND($F166&lt;&gt;"Done",$H166&lt;&gt;"",$H166&lt;TODAY())," ⚠",""))</f>
        <v/>
      </c>
    </row>
    <row r="167">
      <c r="A167" s="33">
        <f>IF($B167="","",COUNTA($B$2:$B167))</f>
        <v/>
      </c>
      <c r="B167" s="34" t="n"/>
      <c r="C167" s="34" t="n"/>
      <c r="D167" s="33" t="n"/>
      <c r="E167" s="33" t="n"/>
      <c r="F167" s="33" t="n"/>
      <c r="G167" s="35" t="n"/>
      <c r="H167" s="35" t="n"/>
      <c r="I167" s="36" t="n"/>
      <c r="J167" s="33">
        <f>IF($B167="","",IF($F167="Done","✔ 완료",IF($H167="","—",IF($H167&lt;TODAY(),"⚠ "&amp;(TODAY()-$H167)&amp;"일 지연",IF($H167=TODAY(),"🔔 오늘 마감","D-"&amp;($H167-TODAY()))))))</f>
        <v/>
      </c>
      <c r="K167" s="34" t="n"/>
      <c r="L167">
        <f>IF(AND($B167&lt;&gt;"",$F167="To Do"),COUNTIFS($B$2:$B167,"&lt;&gt;",$F$2:$F167,"To Do"),"")</f>
        <v/>
      </c>
      <c r="M167">
        <f>IF(AND($B167&lt;&gt;"",$F167="Doing"),COUNTIFS($B$2:$B167,"&lt;&gt;",$F$2:$F167,"Doing"),"")</f>
        <v/>
      </c>
      <c r="N167">
        <f>IF(AND($B167&lt;&gt;"",$F167="Done"),COUNTIFS($B$2:$B167,"&lt;&gt;",$F$2:$F167,"Done"),"")</f>
        <v/>
      </c>
      <c r="O167">
        <f>IF($B167="","",$B167&amp;"  |  "&amp;IF($D167="","담당자 미지정",$D167)&amp;IF($H167="",""," · ~"&amp;TEXT($H167,"m/d"))&amp;IF($E167="높음"," 🔺","")&amp;IF(AND($F167&lt;&gt;"Done",$H167&lt;&gt;"",$H167&lt;TODAY())," ⚠",""))</f>
        <v/>
      </c>
    </row>
    <row r="168">
      <c r="A168" s="33">
        <f>IF($B168="","",COUNTA($B$2:$B168))</f>
        <v/>
      </c>
      <c r="B168" s="34" t="n"/>
      <c r="C168" s="34" t="n"/>
      <c r="D168" s="33" t="n"/>
      <c r="E168" s="33" t="n"/>
      <c r="F168" s="33" t="n"/>
      <c r="G168" s="35" t="n"/>
      <c r="H168" s="35" t="n"/>
      <c r="I168" s="36" t="n"/>
      <c r="J168" s="33">
        <f>IF($B168="","",IF($F168="Done","✔ 완료",IF($H168="","—",IF($H168&lt;TODAY(),"⚠ "&amp;(TODAY()-$H168)&amp;"일 지연",IF($H168=TODAY(),"🔔 오늘 마감","D-"&amp;($H168-TODAY()))))))</f>
        <v/>
      </c>
      <c r="K168" s="34" t="n"/>
      <c r="L168">
        <f>IF(AND($B168&lt;&gt;"",$F168="To Do"),COUNTIFS($B$2:$B168,"&lt;&gt;",$F$2:$F168,"To Do"),"")</f>
        <v/>
      </c>
      <c r="M168">
        <f>IF(AND($B168&lt;&gt;"",$F168="Doing"),COUNTIFS($B$2:$B168,"&lt;&gt;",$F$2:$F168,"Doing"),"")</f>
        <v/>
      </c>
      <c r="N168">
        <f>IF(AND($B168&lt;&gt;"",$F168="Done"),COUNTIFS($B$2:$B168,"&lt;&gt;",$F$2:$F168,"Done"),"")</f>
        <v/>
      </c>
      <c r="O168">
        <f>IF($B168="","",$B168&amp;"  |  "&amp;IF($D168="","담당자 미지정",$D168)&amp;IF($H168="",""," · ~"&amp;TEXT($H168,"m/d"))&amp;IF($E168="높음"," 🔺","")&amp;IF(AND($F168&lt;&gt;"Done",$H168&lt;&gt;"",$H168&lt;TODAY())," ⚠",""))</f>
        <v/>
      </c>
    </row>
    <row r="169">
      <c r="A169" s="33">
        <f>IF($B169="","",COUNTA($B$2:$B169))</f>
        <v/>
      </c>
      <c r="B169" s="34" t="n"/>
      <c r="C169" s="34" t="n"/>
      <c r="D169" s="33" t="n"/>
      <c r="E169" s="33" t="n"/>
      <c r="F169" s="33" t="n"/>
      <c r="G169" s="35" t="n"/>
      <c r="H169" s="35" t="n"/>
      <c r="I169" s="36" t="n"/>
      <c r="J169" s="33">
        <f>IF($B169="","",IF($F169="Done","✔ 완료",IF($H169="","—",IF($H169&lt;TODAY(),"⚠ "&amp;(TODAY()-$H169)&amp;"일 지연",IF($H169=TODAY(),"🔔 오늘 마감","D-"&amp;($H169-TODAY()))))))</f>
        <v/>
      </c>
      <c r="K169" s="34" t="n"/>
      <c r="L169">
        <f>IF(AND($B169&lt;&gt;"",$F169="To Do"),COUNTIFS($B$2:$B169,"&lt;&gt;",$F$2:$F169,"To Do"),"")</f>
        <v/>
      </c>
      <c r="M169">
        <f>IF(AND($B169&lt;&gt;"",$F169="Doing"),COUNTIFS($B$2:$B169,"&lt;&gt;",$F$2:$F169,"Doing"),"")</f>
        <v/>
      </c>
      <c r="N169">
        <f>IF(AND($B169&lt;&gt;"",$F169="Done"),COUNTIFS($B$2:$B169,"&lt;&gt;",$F$2:$F169,"Done"),"")</f>
        <v/>
      </c>
      <c r="O169">
        <f>IF($B169="","",$B169&amp;"  |  "&amp;IF($D169="","담당자 미지정",$D169)&amp;IF($H169="",""," · ~"&amp;TEXT($H169,"m/d"))&amp;IF($E169="높음"," 🔺","")&amp;IF(AND($F169&lt;&gt;"Done",$H169&lt;&gt;"",$H169&lt;TODAY())," ⚠",""))</f>
        <v/>
      </c>
    </row>
    <row r="170">
      <c r="A170" s="33">
        <f>IF($B170="","",COUNTA($B$2:$B170))</f>
        <v/>
      </c>
      <c r="B170" s="34" t="n"/>
      <c r="C170" s="34" t="n"/>
      <c r="D170" s="33" t="n"/>
      <c r="E170" s="33" t="n"/>
      <c r="F170" s="33" t="n"/>
      <c r="G170" s="35" t="n"/>
      <c r="H170" s="35" t="n"/>
      <c r="I170" s="36" t="n"/>
      <c r="J170" s="33">
        <f>IF($B170="","",IF($F170="Done","✔ 완료",IF($H170="","—",IF($H170&lt;TODAY(),"⚠ "&amp;(TODAY()-$H170)&amp;"일 지연",IF($H170=TODAY(),"🔔 오늘 마감","D-"&amp;($H170-TODAY()))))))</f>
        <v/>
      </c>
      <c r="K170" s="34" t="n"/>
      <c r="L170">
        <f>IF(AND($B170&lt;&gt;"",$F170="To Do"),COUNTIFS($B$2:$B170,"&lt;&gt;",$F$2:$F170,"To Do"),"")</f>
        <v/>
      </c>
      <c r="M170">
        <f>IF(AND($B170&lt;&gt;"",$F170="Doing"),COUNTIFS($B$2:$B170,"&lt;&gt;",$F$2:$F170,"Doing"),"")</f>
        <v/>
      </c>
      <c r="N170">
        <f>IF(AND($B170&lt;&gt;"",$F170="Done"),COUNTIFS($B$2:$B170,"&lt;&gt;",$F$2:$F170,"Done"),"")</f>
        <v/>
      </c>
      <c r="O170">
        <f>IF($B170="","",$B170&amp;"  |  "&amp;IF($D170="","담당자 미지정",$D170)&amp;IF($H170="",""," · ~"&amp;TEXT($H170,"m/d"))&amp;IF($E170="높음"," 🔺","")&amp;IF(AND($F170&lt;&gt;"Done",$H170&lt;&gt;"",$H170&lt;TODAY())," ⚠",""))</f>
        <v/>
      </c>
    </row>
    <row r="171">
      <c r="A171" s="33">
        <f>IF($B171="","",COUNTA($B$2:$B171))</f>
        <v/>
      </c>
      <c r="B171" s="34" t="n"/>
      <c r="C171" s="34" t="n"/>
      <c r="D171" s="33" t="n"/>
      <c r="E171" s="33" t="n"/>
      <c r="F171" s="33" t="n"/>
      <c r="G171" s="35" t="n"/>
      <c r="H171" s="35" t="n"/>
      <c r="I171" s="36" t="n"/>
      <c r="J171" s="33">
        <f>IF($B171="","",IF($F171="Done","✔ 완료",IF($H171="","—",IF($H171&lt;TODAY(),"⚠ "&amp;(TODAY()-$H171)&amp;"일 지연",IF($H171=TODAY(),"🔔 오늘 마감","D-"&amp;($H171-TODAY()))))))</f>
        <v/>
      </c>
      <c r="K171" s="34" t="n"/>
      <c r="L171">
        <f>IF(AND($B171&lt;&gt;"",$F171="To Do"),COUNTIFS($B$2:$B171,"&lt;&gt;",$F$2:$F171,"To Do"),"")</f>
        <v/>
      </c>
      <c r="M171">
        <f>IF(AND($B171&lt;&gt;"",$F171="Doing"),COUNTIFS($B$2:$B171,"&lt;&gt;",$F$2:$F171,"Doing"),"")</f>
        <v/>
      </c>
      <c r="N171">
        <f>IF(AND($B171&lt;&gt;"",$F171="Done"),COUNTIFS($B$2:$B171,"&lt;&gt;",$F$2:$F171,"Done"),"")</f>
        <v/>
      </c>
      <c r="O171">
        <f>IF($B171="","",$B171&amp;"  |  "&amp;IF($D171="","담당자 미지정",$D171)&amp;IF($H171="",""," · ~"&amp;TEXT($H171,"m/d"))&amp;IF($E171="높음"," 🔺","")&amp;IF(AND($F171&lt;&gt;"Done",$H171&lt;&gt;"",$H171&lt;TODAY())," ⚠",""))</f>
        <v/>
      </c>
    </row>
    <row r="172">
      <c r="A172" s="33">
        <f>IF($B172="","",COUNTA($B$2:$B172))</f>
        <v/>
      </c>
      <c r="B172" s="34" t="n"/>
      <c r="C172" s="34" t="n"/>
      <c r="D172" s="33" t="n"/>
      <c r="E172" s="33" t="n"/>
      <c r="F172" s="33" t="n"/>
      <c r="G172" s="35" t="n"/>
      <c r="H172" s="35" t="n"/>
      <c r="I172" s="36" t="n"/>
      <c r="J172" s="33">
        <f>IF($B172="","",IF($F172="Done","✔ 완료",IF($H172="","—",IF($H172&lt;TODAY(),"⚠ "&amp;(TODAY()-$H172)&amp;"일 지연",IF($H172=TODAY(),"🔔 오늘 마감","D-"&amp;($H172-TODAY()))))))</f>
        <v/>
      </c>
      <c r="K172" s="34" t="n"/>
      <c r="L172">
        <f>IF(AND($B172&lt;&gt;"",$F172="To Do"),COUNTIFS($B$2:$B172,"&lt;&gt;",$F$2:$F172,"To Do"),"")</f>
        <v/>
      </c>
      <c r="M172">
        <f>IF(AND($B172&lt;&gt;"",$F172="Doing"),COUNTIFS($B$2:$B172,"&lt;&gt;",$F$2:$F172,"Doing"),"")</f>
        <v/>
      </c>
      <c r="N172">
        <f>IF(AND($B172&lt;&gt;"",$F172="Done"),COUNTIFS($B$2:$B172,"&lt;&gt;",$F$2:$F172,"Done"),"")</f>
        <v/>
      </c>
      <c r="O172">
        <f>IF($B172="","",$B172&amp;"  |  "&amp;IF($D172="","담당자 미지정",$D172)&amp;IF($H172="",""," · ~"&amp;TEXT($H172,"m/d"))&amp;IF($E172="높음"," 🔺","")&amp;IF(AND($F172&lt;&gt;"Done",$H172&lt;&gt;"",$H172&lt;TODAY())," ⚠",""))</f>
        <v/>
      </c>
    </row>
    <row r="173">
      <c r="A173" s="33">
        <f>IF($B173="","",COUNTA($B$2:$B173))</f>
        <v/>
      </c>
      <c r="B173" s="34" t="n"/>
      <c r="C173" s="34" t="n"/>
      <c r="D173" s="33" t="n"/>
      <c r="E173" s="33" t="n"/>
      <c r="F173" s="33" t="n"/>
      <c r="G173" s="35" t="n"/>
      <c r="H173" s="35" t="n"/>
      <c r="I173" s="36" t="n"/>
      <c r="J173" s="33">
        <f>IF($B173="","",IF($F173="Done","✔ 완료",IF($H173="","—",IF($H173&lt;TODAY(),"⚠ "&amp;(TODAY()-$H173)&amp;"일 지연",IF($H173=TODAY(),"🔔 오늘 마감","D-"&amp;($H173-TODAY()))))))</f>
        <v/>
      </c>
      <c r="K173" s="34" t="n"/>
      <c r="L173">
        <f>IF(AND($B173&lt;&gt;"",$F173="To Do"),COUNTIFS($B$2:$B173,"&lt;&gt;",$F$2:$F173,"To Do"),"")</f>
        <v/>
      </c>
      <c r="M173">
        <f>IF(AND($B173&lt;&gt;"",$F173="Doing"),COUNTIFS($B$2:$B173,"&lt;&gt;",$F$2:$F173,"Doing"),"")</f>
        <v/>
      </c>
      <c r="N173">
        <f>IF(AND($B173&lt;&gt;"",$F173="Done"),COUNTIFS($B$2:$B173,"&lt;&gt;",$F$2:$F173,"Done"),"")</f>
        <v/>
      </c>
      <c r="O173">
        <f>IF($B173="","",$B173&amp;"  |  "&amp;IF($D173="","담당자 미지정",$D173)&amp;IF($H173="",""," · ~"&amp;TEXT($H173,"m/d"))&amp;IF($E173="높음"," 🔺","")&amp;IF(AND($F173&lt;&gt;"Done",$H173&lt;&gt;"",$H173&lt;TODAY())," ⚠",""))</f>
        <v/>
      </c>
    </row>
    <row r="174">
      <c r="A174" s="33">
        <f>IF($B174="","",COUNTA($B$2:$B174))</f>
        <v/>
      </c>
      <c r="B174" s="34" t="n"/>
      <c r="C174" s="34" t="n"/>
      <c r="D174" s="33" t="n"/>
      <c r="E174" s="33" t="n"/>
      <c r="F174" s="33" t="n"/>
      <c r="G174" s="35" t="n"/>
      <c r="H174" s="35" t="n"/>
      <c r="I174" s="36" t="n"/>
      <c r="J174" s="33">
        <f>IF($B174="","",IF($F174="Done","✔ 완료",IF($H174="","—",IF($H174&lt;TODAY(),"⚠ "&amp;(TODAY()-$H174)&amp;"일 지연",IF($H174=TODAY(),"🔔 오늘 마감","D-"&amp;($H174-TODAY()))))))</f>
        <v/>
      </c>
      <c r="K174" s="34" t="n"/>
      <c r="L174">
        <f>IF(AND($B174&lt;&gt;"",$F174="To Do"),COUNTIFS($B$2:$B174,"&lt;&gt;",$F$2:$F174,"To Do"),"")</f>
        <v/>
      </c>
      <c r="M174">
        <f>IF(AND($B174&lt;&gt;"",$F174="Doing"),COUNTIFS($B$2:$B174,"&lt;&gt;",$F$2:$F174,"Doing"),"")</f>
        <v/>
      </c>
      <c r="N174">
        <f>IF(AND($B174&lt;&gt;"",$F174="Done"),COUNTIFS($B$2:$B174,"&lt;&gt;",$F$2:$F174,"Done"),"")</f>
        <v/>
      </c>
      <c r="O174">
        <f>IF($B174="","",$B174&amp;"  |  "&amp;IF($D174="","담당자 미지정",$D174)&amp;IF($H174="",""," · ~"&amp;TEXT($H174,"m/d"))&amp;IF($E174="높음"," 🔺","")&amp;IF(AND($F174&lt;&gt;"Done",$H174&lt;&gt;"",$H174&lt;TODAY())," ⚠",""))</f>
        <v/>
      </c>
    </row>
    <row r="175">
      <c r="A175" s="33">
        <f>IF($B175="","",COUNTA($B$2:$B175))</f>
        <v/>
      </c>
      <c r="B175" s="34" t="n"/>
      <c r="C175" s="34" t="n"/>
      <c r="D175" s="33" t="n"/>
      <c r="E175" s="33" t="n"/>
      <c r="F175" s="33" t="n"/>
      <c r="G175" s="35" t="n"/>
      <c r="H175" s="35" t="n"/>
      <c r="I175" s="36" t="n"/>
      <c r="J175" s="33">
        <f>IF($B175="","",IF($F175="Done","✔ 완료",IF($H175="","—",IF($H175&lt;TODAY(),"⚠ "&amp;(TODAY()-$H175)&amp;"일 지연",IF($H175=TODAY(),"🔔 오늘 마감","D-"&amp;($H175-TODAY()))))))</f>
        <v/>
      </c>
      <c r="K175" s="34" t="n"/>
      <c r="L175">
        <f>IF(AND($B175&lt;&gt;"",$F175="To Do"),COUNTIFS($B$2:$B175,"&lt;&gt;",$F$2:$F175,"To Do"),"")</f>
        <v/>
      </c>
      <c r="M175">
        <f>IF(AND($B175&lt;&gt;"",$F175="Doing"),COUNTIFS($B$2:$B175,"&lt;&gt;",$F$2:$F175,"Doing"),"")</f>
        <v/>
      </c>
      <c r="N175">
        <f>IF(AND($B175&lt;&gt;"",$F175="Done"),COUNTIFS($B$2:$B175,"&lt;&gt;",$F$2:$F175,"Done"),"")</f>
        <v/>
      </c>
      <c r="O175">
        <f>IF($B175="","",$B175&amp;"  |  "&amp;IF($D175="","담당자 미지정",$D175)&amp;IF($H175="",""," · ~"&amp;TEXT($H175,"m/d"))&amp;IF($E175="높음"," 🔺","")&amp;IF(AND($F175&lt;&gt;"Done",$H175&lt;&gt;"",$H175&lt;TODAY())," ⚠",""))</f>
        <v/>
      </c>
    </row>
    <row r="176">
      <c r="A176" s="33">
        <f>IF($B176="","",COUNTA($B$2:$B176))</f>
        <v/>
      </c>
      <c r="B176" s="34" t="n"/>
      <c r="C176" s="34" t="n"/>
      <c r="D176" s="33" t="n"/>
      <c r="E176" s="33" t="n"/>
      <c r="F176" s="33" t="n"/>
      <c r="G176" s="35" t="n"/>
      <c r="H176" s="35" t="n"/>
      <c r="I176" s="36" t="n"/>
      <c r="J176" s="33">
        <f>IF($B176="","",IF($F176="Done","✔ 완료",IF($H176="","—",IF($H176&lt;TODAY(),"⚠ "&amp;(TODAY()-$H176)&amp;"일 지연",IF($H176=TODAY(),"🔔 오늘 마감","D-"&amp;($H176-TODAY()))))))</f>
        <v/>
      </c>
      <c r="K176" s="34" t="n"/>
      <c r="L176">
        <f>IF(AND($B176&lt;&gt;"",$F176="To Do"),COUNTIFS($B$2:$B176,"&lt;&gt;",$F$2:$F176,"To Do"),"")</f>
        <v/>
      </c>
      <c r="M176">
        <f>IF(AND($B176&lt;&gt;"",$F176="Doing"),COUNTIFS($B$2:$B176,"&lt;&gt;",$F$2:$F176,"Doing"),"")</f>
        <v/>
      </c>
      <c r="N176">
        <f>IF(AND($B176&lt;&gt;"",$F176="Done"),COUNTIFS($B$2:$B176,"&lt;&gt;",$F$2:$F176,"Done"),"")</f>
        <v/>
      </c>
      <c r="O176">
        <f>IF($B176="","",$B176&amp;"  |  "&amp;IF($D176="","담당자 미지정",$D176)&amp;IF($H176="",""," · ~"&amp;TEXT($H176,"m/d"))&amp;IF($E176="높음"," 🔺","")&amp;IF(AND($F176&lt;&gt;"Done",$H176&lt;&gt;"",$H176&lt;TODAY())," ⚠",""))</f>
        <v/>
      </c>
    </row>
    <row r="177">
      <c r="A177" s="33">
        <f>IF($B177="","",COUNTA($B$2:$B177))</f>
        <v/>
      </c>
      <c r="B177" s="34" t="n"/>
      <c r="C177" s="34" t="n"/>
      <c r="D177" s="33" t="n"/>
      <c r="E177" s="33" t="n"/>
      <c r="F177" s="33" t="n"/>
      <c r="G177" s="35" t="n"/>
      <c r="H177" s="35" t="n"/>
      <c r="I177" s="36" t="n"/>
      <c r="J177" s="33">
        <f>IF($B177="","",IF($F177="Done","✔ 완료",IF($H177="","—",IF($H177&lt;TODAY(),"⚠ "&amp;(TODAY()-$H177)&amp;"일 지연",IF($H177=TODAY(),"🔔 오늘 마감","D-"&amp;($H177-TODAY()))))))</f>
        <v/>
      </c>
      <c r="K177" s="34" t="n"/>
      <c r="L177">
        <f>IF(AND($B177&lt;&gt;"",$F177="To Do"),COUNTIFS($B$2:$B177,"&lt;&gt;",$F$2:$F177,"To Do"),"")</f>
        <v/>
      </c>
      <c r="M177">
        <f>IF(AND($B177&lt;&gt;"",$F177="Doing"),COUNTIFS($B$2:$B177,"&lt;&gt;",$F$2:$F177,"Doing"),"")</f>
        <v/>
      </c>
      <c r="N177">
        <f>IF(AND($B177&lt;&gt;"",$F177="Done"),COUNTIFS($B$2:$B177,"&lt;&gt;",$F$2:$F177,"Done"),"")</f>
        <v/>
      </c>
      <c r="O177">
        <f>IF($B177="","",$B177&amp;"  |  "&amp;IF($D177="","담당자 미지정",$D177)&amp;IF($H177="",""," · ~"&amp;TEXT($H177,"m/d"))&amp;IF($E177="높음"," 🔺","")&amp;IF(AND($F177&lt;&gt;"Done",$H177&lt;&gt;"",$H177&lt;TODAY())," ⚠",""))</f>
        <v/>
      </c>
    </row>
    <row r="178">
      <c r="A178" s="33">
        <f>IF($B178="","",COUNTA($B$2:$B178))</f>
        <v/>
      </c>
      <c r="B178" s="34" t="n"/>
      <c r="C178" s="34" t="n"/>
      <c r="D178" s="33" t="n"/>
      <c r="E178" s="33" t="n"/>
      <c r="F178" s="33" t="n"/>
      <c r="G178" s="35" t="n"/>
      <c r="H178" s="35" t="n"/>
      <c r="I178" s="36" t="n"/>
      <c r="J178" s="33">
        <f>IF($B178="","",IF($F178="Done","✔ 완료",IF($H178="","—",IF($H178&lt;TODAY(),"⚠ "&amp;(TODAY()-$H178)&amp;"일 지연",IF($H178=TODAY(),"🔔 오늘 마감","D-"&amp;($H178-TODAY()))))))</f>
        <v/>
      </c>
      <c r="K178" s="34" t="n"/>
      <c r="L178">
        <f>IF(AND($B178&lt;&gt;"",$F178="To Do"),COUNTIFS($B$2:$B178,"&lt;&gt;",$F$2:$F178,"To Do"),"")</f>
        <v/>
      </c>
      <c r="M178">
        <f>IF(AND($B178&lt;&gt;"",$F178="Doing"),COUNTIFS($B$2:$B178,"&lt;&gt;",$F$2:$F178,"Doing"),"")</f>
        <v/>
      </c>
      <c r="N178">
        <f>IF(AND($B178&lt;&gt;"",$F178="Done"),COUNTIFS($B$2:$B178,"&lt;&gt;",$F$2:$F178,"Done"),"")</f>
        <v/>
      </c>
      <c r="O178">
        <f>IF($B178="","",$B178&amp;"  |  "&amp;IF($D178="","담당자 미지정",$D178)&amp;IF($H178="",""," · ~"&amp;TEXT($H178,"m/d"))&amp;IF($E178="높음"," 🔺","")&amp;IF(AND($F178&lt;&gt;"Done",$H178&lt;&gt;"",$H178&lt;TODAY())," ⚠",""))</f>
        <v/>
      </c>
    </row>
    <row r="179">
      <c r="A179" s="33">
        <f>IF($B179="","",COUNTA($B$2:$B179))</f>
        <v/>
      </c>
      <c r="B179" s="34" t="n"/>
      <c r="C179" s="34" t="n"/>
      <c r="D179" s="33" t="n"/>
      <c r="E179" s="33" t="n"/>
      <c r="F179" s="33" t="n"/>
      <c r="G179" s="35" t="n"/>
      <c r="H179" s="35" t="n"/>
      <c r="I179" s="36" t="n"/>
      <c r="J179" s="33">
        <f>IF($B179="","",IF($F179="Done","✔ 완료",IF($H179="","—",IF($H179&lt;TODAY(),"⚠ "&amp;(TODAY()-$H179)&amp;"일 지연",IF($H179=TODAY(),"🔔 오늘 마감","D-"&amp;($H179-TODAY()))))))</f>
        <v/>
      </c>
      <c r="K179" s="34" t="n"/>
      <c r="L179">
        <f>IF(AND($B179&lt;&gt;"",$F179="To Do"),COUNTIFS($B$2:$B179,"&lt;&gt;",$F$2:$F179,"To Do"),"")</f>
        <v/>
      </c>
      <c r="M179">
        <f>IF(AND($B179&lt;&gt;"",$F179="Doing"),COUNTIFS($B$2:$B179,"&lt;&gt;",$F$2:$F179,"Doing"),"")</f>
        <v/>
      </c>
      <c r="N179">
        <f>IF(AND($B179&lt;&gt;"",$F179="Done"),COUNTIFS($B$2:$B179,"&lt;&gt;",$F$2:$F179,"Done"),"")</f>
        <v/>
      </c>
      <c r="O179">
        <f>IF($B179="","",$B179&amp;"  |  "&amp;IF($D179="","담당자 미지정",$D179)&amp;IF($H179="",""," · ~"&amp;TEXT($H179,"m/d"))&amp;IF($E179="높음"," 🔺","")&amp;IF(AND($F179&lt;&gt;"Done",$H179&lt;&gt;"",$H179&lt;TODAY())," ⚠",""))</f>
        <v/>
      </c>
    </row>
    <row r="180">
      <c r="A180" s="33">
        <f>IF($B180="","",COUNTA($B$2:$B180))</f>
        <v/>
      </c>
      <c r="B180" s="34" t="n"/>
      <c r="C180" s="34" t="n"/>
      <c r="D180" s="33" t="n"/>
      <c r="E180" s="33" t="n"/>
      <c r="F180" s="33" t="n"/>
      <c r="G180" s="35" t="n"/>
      <c r="H180" s="35" t="n"/>
      <c r="I180" s="36" t="n"/>
      <c r="J180" s="33">
        <f>IF($B180="","",IF($F180="Done","✔ 완료",IF($H180="","—",IF($H180&lt;TODAY(),"⚠ "&amp;(TODAY()-$H180)&amp;"일 지연",IF($H180=TODAY(),"🔔 오늘 마감","D-"&amp;($H180-TODAY()))))))</f>
        <v/>
      </c>
      <c r="K180" s="34" t="n"/>
      <c r="L180">
        <f>IF(AND($B180&lt;&gt;"",$F180="To Do"),COUNTIFS($B$2:$B180,"&lt;&gt;",$F$2:$F180,"To Do"),"")</f>
        <v/>
      </c>
      <c r="M180">
        <f>IF(AND($B180&lt;&gt;"",$F180="Doing"),COUNTIFS($B$2:$B180,"&lt;&gt;",$F$2:$F180,"Doing"),"")</f>
        <v/>
      </c>
      <c r="N180">
        <f>IF(AND($B180&lt;&gt;"",$F180="Done"),COUNTIFS($B$2:$B180,"&lt;&gt;",$F$2:$F180,"Done"),"")</f>
        <v/>
      </c>
      <c r="O180">
        <f>IF($B180="","",$B180&amp;"  |  "&amp;IF($D180="","담당자 미지정",$D180)&amp;IF($H180="",""," · ~"&amp;TEXT($H180,"m/d"))&amp;IF($E180="높음"," 🔺","")&amp;IF(AND($F180&lt;&gt;"Done",$H180&lt;&gt;"",$H180&lt;TODAY())," ⚠",""))</f>
        <v/>
      </c>
    </row>
    <row r="181">
      <c r="A181" s="33">
        <f>IF($B181="","",COUNTA($B$2:$B181))</f>
        <v/>
      </c>
      <c r="B181" s="34" t="n"/>
      <c r="C181" s="34" t="n"/>
      <c r="D181" s="33" t="n"/>
      <c r="E181" s="33" t="n"/>
      <c r="F181" s="33" t="n"/>
      <c r="G181" s="35" t="n"/>
      <c r="H181" s="35" t="n"/>
      <c r="I181" s="36" t="n"/>
      <c r="J181" s="33">
        <f>IF($B181="","",IF($F181="Done","✔ 완료",IF($H181="","—",IF($H181&lt;TODAY(),"⚠ "&amp;(TODAY()-$H181)&amp;"일 지연",IF($H181=TODAY(),"🔔 오늘 마감","D-"&amp;($H181-TODAY()))))))</f>
        <v/>
      </c>
      <c r="K181" s="34" t="n"/>
      <c r="L181">
        <f>IF(AND($B181&lt;&gt;"",$F181="To Do"),COUNTIFS($B$2:$B181,"&lt;&gt;",$F$2:$F181,"To Do"),"")</f>
        <v/>
      </c>
      <c r="M181">
        <f>IF(AND($B181&lt;&gt;"",$F181="Doing"),COUNTIFS($B$2:$B181,"&lt;&gt;",$F$2:$F181,"Doing"),"")</f>
        <v/>
      </c>
      <c r="N181">
        <f>IF(AND($B181&lt;&gt;"",$F181="Done"),COUNTIFS($B$2:$B181,"&lt;&gt;",$F$2:$F181,"Done"),"")</f>
        <v/>
      </c>
      <c r="O181">
        <f>IF($B181="","",$B181&amp;"  |  "&amp;IF($D181="","담당자 미지정",$D181)&amp;IF($H181="",""," · ~"&amp;TEXT($H181,"m/d"))&amp;IF($E181="높음"," 🔺","")&amp;IF(AND($F181&lt;&gt;"Done",$H181&lt;&gt;"",$H181&lt;TODAY())," ⚠",""))</f>
        <v/>
      </c>
    </row>
    <row r="182">
      <c r="A182" s="33">
        <f>IF($B182="","",COUNTA($B$2:$B182))</f>
        <v/>
      </c>
      <c r="B182" s="34" t="n"/>
      <c r="C182" s="34" t="n"/>
      <c r="D182" s="33" t="n"/>
      <c r="E182" s="33" t="n"/>
      <c r="F182" s="33" t="n"/>
      <c r="G182" s="35" t="n"/>
      <c r="H182" s="35" t="n"/>
      <c r="I182" s="36" t="n"/>
      <c r="J182" s="33">
        <f>IF($B182="","",IF($F182="Done","✔ 완료",IF($H182="","—",IF($H182&lt;TODAY(),"⚠ "&amp;(TODAY()-$H182)&amp;"일 지연",IF($H182=TODAY(),"🔔 오늘 마감","D-"&amp;($H182-TODAY()))))))</f>
        <v/>
      </c>
      <c r="K182" s="34" t="n"/>
      <c r="L182">
        <f>IF(AND($B182&lt;&gt;"",$F182="To Do"),COUNTIFS($B$2:$B182,"&lt;&gt;",$F$2:$F182,"To Do"),"")</f>
        <v/>
      </c>
      <c r="M182">
        <f>IF(AND($B182&lt;&gt;"",$F182="Doing"),COUNTIFS($B$2:$B182,"&lt;&gt;",$F$2:$F182,"Doing"),"")</f>
        <v/>
      </c>
      <c r="N182">
        <f>IF(AND($B182&lt;&gt;"",$F182="Done"),COUNTIFS($B$2:$B182,"&lt;&gt;",$F$2:$F182,"Done"),"")</f>
        <v/>
      </c>
      <c r="O182">
        <f>IF($B182="","",$B182&amp;"  |  "&amp;IF($D182="","담당자 미지정",$D182)&amp;IF($H182="",""," · ~"&amp;TEXT($H182,"m/d"))&amp;IF($E182="높음"," 🔺","")&amp;IF(AND($F182&lt;&gt;"Done",$H182&lt;&gt;"",$H182&lt;TODAY())," ⚠",""))</f>
        <v/>
      </c>
    </row>
    <row r="183">
      <c r="A183" s="33">
        <f>IF($B183="","",COUNTA($B$2:$B183))</f>
        <v/>
      </c>
      <c r="B183" s="34" t="n"/>
      <c r="C183" s="34" t="n"/>
      <c r="D183" s="33" t="n"/>
      <c r="E183" s="33" t="n"/>
      <c r="F183" s="33" t="n"/>
      <c r="G183" s="35" t="n"/>
      <c r="H183" s="35" t="n"/>
      <c r="I183" s="36" t="n"/>
      <c r="J183" s="33">
        <f>IF($B183="","",IF($F183="Done","✔ 완료",IF($H183="","—",IF($H183&lt;TODAY(),"⚠ "&amp;(TODAY()-$H183)&amp;"일 지연",IF($H183=TODAY(),"🔔 오늘 마감","D-"&amp;($H183-TODAY()))))))</f>
        <v/>
      </c>
      <c r="K183" s="34" t="n"/>
      <c r="L183">
        <f>IF(AND($B183&lt;&gt;"",$F183="To Do"),COUNTIFS($B$2:$B183,"&lt;&gt;",$F$2:$F183,"To Do"),"")</f>
        <v/>
      </c>
      <c r="M183">
        <f>IF(AND($B183&lt;&gt;"",$F183="Doing"),COUNTIFS($B$2:$B183,"&lt;&gt;",$F$2:$F183,"Doing"),"")</f>
        <v/>
      </c>
      <c r="N183">
        <f>IF(AND($B183&lt;&gt;"",$F183="Done"),COUNTIFS($B$2:$B183,"&lt;&gt;",$F$2:$F183,"Done"),"")</f>
        <v/>
      </c>
      <c r="O183">
        <f>IF($B183="","",$B183&amp;"  |  "&amp;IF($D183="","담당자 미지정",$D183)&amp;IF($H183="",""," · ~"&amp;TEXT($H183,"m/d"))&amp;IF($E183="높음"," 🔺","")&amp;IF(AND($F183&lt;&gt;"Done",$H183&lt;&gt;"",$H183&lt;TODAY())," ⚠",""))</f>
        <v/>
      </c>
    </row>
    <row r="184">
      <c r="A184" s="33">
        <f>IF($B184="","",COUNTA($B$2:$B184))</f>
        <v/>
      </c>
      <c r="B184" s="34" t="n"/>
      <c r="C184" s="34" t="n"/>
      <c r="D184" s="33" t="n"/>
      <c r="E184" s="33" t="n"/>
      <c r="F184" s="33" t="n"/>
      <c r="G184" s="35" t="n"/>
      <c r="H184" s="35" t="n"/>
      <c r="I184" s="36" t="n"/>
      <c r="J184" s="33">
        <f>IF($B184="","",IF($F184="Done","✔ 완료",IF($H184="","—",IF($H184&lt;TODAY(),"⚠ "&amp;(TODAY()-$H184)&amp;"일 지연",IF($H184=TODAY(),"🔔 오늘 마감","D-"&amp;($H184-TODAY()))))))</f>
        <v/>
      </c>
      <c r="K184" s="34" t="n"/>
      <c r="L184">
        <f>IF(AND($B184&lt;&gt;"",$F184="To Do"),COUNTIFS($B$2:$B184,"&lt;&gt;",$F$2:$F184,"To Do"),"")</f>
        <v/>
      </c>
      <c r="M184">
        <f>IF(AND($B184&lt;&gt;"",$F184="Doing"),COUNTIFS($B$2:$B184,"&lt;&gt;",$F$2:$F184,"Doing"),"")</f>
        <v/>
      </c>
      <c r="N184">
        <f>IF(AND($B184&lt;&gt;"",$F184="Done"),COUNTIFS($B$2:$B184,"&lt;&gt;",$F$2:$F184,"Done"),"")</f>
        <v/>
      </c>
      <c r="O184">
        <f>IF($B184="","",$B184&amp;"  |  "&amp;IF($D184="","담당자 미지정",$D184)&amp;IF($H184="",""," · ~"&amp;TEXT($H184,"m/d"))&amp;IF($E184="높음"," 🔺","")&amp;IF(AND($F184&lt;&gt;"Done",$H184&lt;&gt;"",$H184&lt;TODAY())," ⚠",""))</f>
        <v/>
      </c>
    </row>
    <row r="185">
      <c r="A185" s="33">
        <f>IF($B185="","",COUNTA($B$2:$B185))</f>
        <v/>
      </c>
      <c r="B185" s="34" t="n"/>
      <c r="C185" s="34" t="n"/>
      <c r="D185" s="33" t="n"/>
      <c r="E185" s="33" t="n"/>
      <c r="F185" s="33" t="n"/>
      <c r="G185" s="35" t="n"/>
      <c r="H185" s="35" t="n"/>
      <c r="I185" s="36" t="n"/>
      <c r="J185" s="33">
        <f>IF($B185="","",IF($F185="Done","✔ 완료",IF($H185="","—",IF($H185&lt;TODAY(),"⚠ "&amp;(TODAY()-$H185)&amp;"일 지연",IF($H185=TODAY(),"🔔 오늘 마감","D-"&amp;($H185-TODAY()))))))</f>
        <v/>
      </c>
      <c r="K185" s="34" t="n"/>
      <c r="L185">
        <f>IF(AND($B185&lt;&gt;"",$F185="To Do"),COUNTIFS($B$2:$B185,"&lt;&gt;",$F$2:$F185,"To Do"),"")</f>
        <v/>
      </c>
      <c r="M185">
        <f>IF(AND($B185&lt;&gt;"",$F185="Doing"),COUNTIFS($B$2:$B185,"&lt;&gt;",$F$2:$F185,"Doing"),"")</f>
        <v/>
      </c>
      <c r="N185">
        <f>IF(AND($B185&lt;&gt;"",$F185="Done"),COUNTIFS($B$2:$B185,"&lt;&gt;",$F$2:$F185,"Done"),"")</f>
        <v/>
      </c>
      <c r="O185">
        <f>IF($B185="","",$B185&amp;"  |  "&amp;IF($D185="","담당자 미지정",$D185)&amp;IF($H185="",""," · ~"&amp;TEXT($H185,"m/d"))&amp;IF($E185="높음"," 🔺","")&amp;IF(AND($F185&lt;&gt;"Done",$H185&lt;&gt;"",$H185&lt;TODAY())," ⚠",""))</f>
        <v/>
      </c>
    </row>
    <row r="186">
      <c r="A186" s="33">
        <f>IF($B186="","",COUNTA($B$2:$B186))</f>
        <v/>
      </c>
      <c r="B186" s="34" t="n"/>
      <c r="C186" s="34" t="n"/>
      <c r="D186" s="33" t="n"/>
      <c r="E186" s="33" t="n"/>
      <c r="F186" s="33" t="n"/>
      <c r="G186" s="35" t="n"/>
      <c r="H186" s="35" t="n"/>
      <c r="I186" s="36" t="n"/>
      <c r="J186" s="33">
        <f>IF($B186="","",IF($F186="Done","✔ 완료",IF($H186="","—",IF($H186&lt;TODAY(),"⚠ "&amp;(TODAY()-$H186)&amp;"일 지연",IF($H186=TODAY(),"🔔 오늘 마감","D-"&amp;($H186-TODAY()))))))</f>
        <v/>
      </c>
      <c r="K186" s="34" t="n"/>
      <c r="L186">
        <f>IF(AND($B186&lt;&gt;"",$F186="To Do"),COUNTIFS($B$2:$B186,"&lt;&gt;",$F$2:$F186,"To Do"),"")</f>
        <v/>
      </c>
      <c r="M186">
        <f>IF(AND($B186&lt;&gt;"",$F186="Doing"),COUNTIFS($B$2:$B186,"&lt;&gt;",$F$2:$F186,"Doing"),"")</f>
        <v/>
      </c>
      <c r="N186">
        <f>IF(AND($B186&lt;&gt;"",$F186="Done"),COUNTIFS($B$2:$B186,"&lt;&gt;",$F$2:$F186,"Done"),"")</f>
        <v/>
      </c>
      <c r="O186">
        <f>IF($B186="","",$B186&amp;"  |  "&amp;IF($D186="","담당자 미지정",$D186)&amp;IF($H186="",""," · ~"&amp;TEXT($H186,"m/d"))&amp;IF($E186="높음"," 🔺","")&amp;IF(AND($F186&lt;&gt;"Done",$H186&lt;&gt;"",$H186&lt;TODAY())," ⚠",""))</f>
        <v/>
      </c>
    </row>
    <row r="187">
      <c r="A187" s="33">
        <f>IF($B187="","",COUNTA($B$2:$B187))</f>
        <v/>
      </c>
      <c r="B187" s="34" t="n"/>
      <c r="C187" s="34" t="n"/>
      <c r="D187" s="33" t="n"/>
      <c r="E187" s="33" t="n"/>
      <c r="F187" s="33" t="n"/>
      <c r="G187" s="35" t="n"/>
      <c r="H187" s="35" t="n"/>
      <c r="I187" s="36" t="n"/>
      <c r="J187" s="33">
        <f>IF($B187="","",IF($F187="Done","✔ 완료",IF($H187="","—",IF($H187&lt;TODAY(),"⚠ "&amp;(TODAY()-$H187)&amp;"일 지연",IF($H187=TODAY(),"🔔 오늘 마감","D-"&amp;($H187-TODAY()))))))</f>
        <v/>
      </c>
      <c r="K187" s="34" t="n"/>
      <c r="L187">
        <f>IF(AND($B187&lt;&gt;"",$F187="To Do"),COUNTIFS($B$2:$B187,"&lt;&gt;",$F$2:$F187,"To Do"),"")</f>
        <v/>
      </c>
      <c r="M187">
        <f>IF(AND($B187&lt;&gt;"",$F187="Doing"),COUNTIFS($B$2:$B187,"&lt;&gt;",$F$2:$F187,"Doing"),"")</f>
        <v/>
      </c>
      <c r="N187">
        <f>IF(AND($B187&lt;&gt;"",$F187="Done"),COUNTIFS($B$2:$B187,"&lt;&gt;",$F$2:$F187,"Done"),"")</f>
        <v/>
      </c>
      <c r="O187">
        <f>IF($B187="","",$B187&amp;"  |  "&amp;IF($D187="","담당자 미지정",$D187)&amp;IF($H187="",""," · ~"&amp;TEXT($H187,"m/d"))&amp;IF($E187="높음"," 🔺","")&amp;IF(AND($F187&lt;&gt;"Done",$H187&lt;&gt;"",$H187&lt;TODAY())," ⚠",""))</f>
        <v/>
      </c>
    </row>
    <row r="188">
      <c r="A188" s="33">
        <f>IF($B188="","",COUNTA($B$2:$B188))</f>
        <v/>
      </c>
      <c r="B188" s="34" t="n"/>
      <c r="C188" s="34" t="n"/>
      <c r="D188" s="33" t="n"/>
      <c r="E188" s="33" t="n"/>
      <c r="F188" s="33" t="n"/>
      <c r="G188" s="35" t="n"/>
      <c r="H188" s="35" t="n"/>
      <c r="I188" s="36" t="n"/>
      <c r="J188" s="33">
        <f>IF($B188="","",IF($F188="Done","✔ 완료",IF($H188="","—",IF($H188&lt;TODAY(),"⚠ "&amp;(TODAY()-$H188)&amp;"일 지연",IF($H188=TODAY(),"🔔 오늘 마감","D-"&amp;($H188-TODAY()))))))</f>
        <v/>
      </c>
      <c r="K188" s="34" t="n"/>
      <c r="L188">
        <f>IF(AND($B188&lt;&gt;"",$F188="To Do"),COUNTIFS($B$2:$B188,"&lt;&gt;",$F$2:$F188,"To Do"),"")</f>
        <v/>
      </c>
      <c r="M188">
        <f>IF(AND($B188&lt;&gt;"",$F188="Doing"),COUNTIFS($B$2:$B188,"&lt;&gt;",$F$2:$F188,"Doing"),"")</f>
        <v/>
      </c>
      <c r="N188">
        <f>IF(AND($B188&lt;&gt;"",$F188="Done"),COUNTIFS($B$2:$B188,"&lt;&gt;",$F$2:$F188,"Done"),"")</f>
        <v/>
      </c>
      <c r="O188">
        <f>IF($B188="","",$B188&amp;"  |  "&amp;IF($D188="","담당자 미지정",$D188)&amp;IF($H188="",""," · ~"&amp;TEXT($H188,"m/d"))&amp;IF($E188="높음"," 🔺","")&amp;IF(AND($F188&lt;&gt;"Done",$H188&lt;&gt;"",$H188&lt;TODAY())," ⚠",""))</f>
        <v/>
      </c>
    </row>
    <row r="189">
      <c r="A189" s="33">
        <f>IF($B189="","",COUNTA($B$2:$B189))</f>
        <v/>
      </c>
      <c r="B189" s="34" t="n"/>
      <c r="C189" s="34" t="n"/>
      <c r="D189" s="33" t="n"/>
      <c r="E189" s="33" t="n"/>
      <c r="F189" s="33" t="n"/>
      <c r="G189" s="35" t="n"/>
      <c r="H189" s="35" t="n"/>
      <c r="I189" s="36" t="n"/>
      <c r="J189" s="33">
        <f>IF($B189="","",IF($F189="Done","✔ 완료",IF($H189="","—",IF($H189&lt;TODAY(),"⚠ "&amp;(TODAY()-$H189)&amp;"일 지연",IF($H189=TODAY(),"🔔 오늘 마감","D-"&amp;($H189-TODAY()))))))</f>
        <v/>
      </c>
      <c r="K189" s="34" t="n"/>
      <c r="L189">
        <f>IF(AND($B189&lt;&gt;"",$F189="To Do"),COUNTIFS($B$2:$B189,"&lt;&gt;",$F$2:$F189,"To Do"),"")</f>
        <v/>
      </c>
      <c r="M189">
        <f>IF(AND($B189&lt;&gt;"",$F189="Doing"),COUNTIFS($B$2:$B189,"&lt;&gt;",$F$2:$F189,"Doing"),"")</f>
        <v/>
      </c>
      <c r="N189">
        <f>IF(AND($B189&lt;&gt;"",$F189="Done"),COUNTIFS($B$2:$B189,"&lt;&gt;",$F$2:$F189,"Done"),"")</f>
        <v/>
      </c>
      <c r="O189">
        <f>IF($B189="","",$B189&amp;"  |  "&amp;IF($D189="","담당자 미지정",$D189)&amp;IF($H189="",""," · ~"&amp;TEXT($H189,"m/d"))&amp;IF($E189="높음"," 🔺","")&amp;IF(AND($F189&lt;&gt;"Done",$H189&lt;&gt;"",$H189&lt;TODAY())," ⚠",""))</f>
        <v/>
      </c>
    </row>
    <row r="190">
      <c r="A190" s="33">
        <f>IF($B190="","",COUNTA($B$2:$B190))</f>
        <v/>
      </c>
      <c r="B190" s="34" t="n"/>
      <c r="C190" s="34" t="n"/>
      <c r="D190" s="33" t="n"/>
      <c r="E190" s="33" t="n"/>
      <c r="F190" s="33" t="n"/>
      <c r="G190" s="35" t="n"/>
      <c r="H190" s="35" t="n"/>
      <c r="I190" s="36" t="n"/>
      <c r="J190" s="33">
        <f>IF($B190="","",IF($F190="Done","✔ 완료",IF($H190="","—",IF($H190&lt;TODAY(),"⚠ "&amp;(TODAY()-$H190)&amp;"일 지연",IF($H190=TODAY(),"🔔 오늘 마감","D-"&amp;($H190-TODAY()))))))</f>
        <v/>
      </c>
      <c r="K190" s="34" t="n"/>
      <c r="L190">
        <f>IF(AND($B190&lt;&gt;"",$F190="To Do"),COUNTIFS($B$2:$B190,"&lt;&gt;",$F$2:$F190,"To Do"),"")</f>
        <v/>
      </c>
      <c r="M190">
        <f>IF(AND($B190&lt;&gt;"",$F190="Doing"),COUNTIFS($B$2:$B190,"&lt;&gt;",$F$2:$F190,"Doing"),"")</f>
        <v/>
      </c>
      <c r="N190">
        <f>IF(AND($B190&lt;&gt;"",$F190="Done"),COUNTIFS($B$2:$B190,"&lt;&gt;",$F$2:$F190,"Done"),"")</f>
        <v/>
      </c>
      <c r="O190">
        <f>IF($B190="","",$B190&amp;"  |  "&amp;IF($D190="","담당자 미지정",$D190)&amp;IF($H190="",""," · ~"&amp;TEXT($H190,"m/d"))&amp;IF($E190="높음"," 🔺","")&amp;IF(AND($F190&lt;&gt;"Done",$H190&lt;&gt;"",$H190&lt;TODAY())," ⚠",""))</f>
        <v/>
      </c>
    </row>
    <row r="191">
      <c r="A191" s="33">
        <f>IF($B191="","",COUNTA($B$2:$B191))</f>
        <v/>
      </c>
      <c r="B191" s="34" t="n"/>
      <c r="C191" s="34" t="n"/>
      <c r="D191" s="33" t="n"/>
      <c r="E191" s="33" t="n"/>
      <c r="F191" s="33" t="n"/>
      <c r="G191" s="35" t="n"/>
      <c r="H191" s="35" t="n"/>
      <c r="I191" s="36" t="n"/>
      <c r="J191" s="33">
        <f>IF($B191="","",IF($F191="Done","✔ 완료",IF($H191="","—",IF($H191&lt;TODAY(),"⚠ "&amp;(TODAY()-$H191)&amp;"일 지연",IF($H191=TODAY(),"🔔 오늘 마감","D-"&amp;($H191-TODAY()))))))</f>
        <v/>
      </c>
      <c r="K191" s="34" t="n"/>
      <c r="L191">
        <f>IF(AND($B191&lt;&gt;"",$F191="To Do"),COUNTIFS($B$2:$B191,"&lt;&gt;",$F$2:$F191,"To Do"),"")</f>
        <v/>
      </c>
      <c r="M191">
        <f>IF(AND($B191&lt;&gt;"",$F191="Doing"),COUNTIFS($B$2:$B191,"&lt;&gt;",$F$2:$F191,"Doing"),"")</f>
        <v/>
      </c>
      <c r="N191">
        <f>IF(AND($B191&lt;&gt;"",$F191="Done"),COUNTIFS($B$2:$B191,"&lt;&gt;",$F$2:$F191,"Done"),"")</f>
        <v/>
      </c>
      <c r="O191">
        <f>IF($B191="","",$B191&amp;"  |  "&amp;IF($D191="","담당자 미지정",$D191)&amp;IF($H191="",""," · ~"&amp;TEXT($H191,"m/d"))&amp;IF($E191="높음"," 🔺","")&amp;IF(AND($F191&lt;&gt;"Done",$H191&lt;&gt;"",$H191&lt;TODAY())," ⚠",""))</f>
        <v/>
      </c>
    </row>
    <row r="192">
      <c r="A192" s="33">
        <f>IF($B192="","",COUNTA($B$2:$B192))</f>
        <v/>
      </c>
      <c r="B192" s="34" t="n"/>
      <c r="C192" s="34" t="n"/>
      <c r="D192" s="33" t="n"/>
      <c r="E192" s="33" t="n"/>
      <c r="F192" s="33" t="n"/>
      <c r="G192" s="35" t="n"/>
      <c r="H192" s="35" t="n"/>
      <c r="I192" s="36" t="n"/>
      <c r="J192" s="33">
        <f>IF($B192="","",IF($F192="Done","✔ 완료",IF($H192="","—",IF($H192&lt;TODAY(),"⚠ "&amp;(TODAY()-$H192)&amp;"일 지연",IF($H192=TODAY(),"🔔 오늘 마감","D-"&amp;($H192-TODAY()))))))</f>
        <v/>
      </c>
      <c r="K192" s="34" t="n"/>
      <c r="L192">
        <f>IF(AND($B192&lt;&gt;"",$F192="To Do"),COUNTIFS($B$2:$B192,"&lt;&gt;",$F$2:$F192,"To Do"),"")</f>
        <v/>
      </c>
      <c r="M192">
        <f>IF(AND($B192&lt;&gt;"",$F192="Doing"),COUNTIFS($B$2:$B192,"&lt;&gt;",$F$2:$F192,"Doing"),"")</f>
        <v/>
      </c>
      <c r="N192">
        <f>IF(AND($B192&lt;&gt;"",$F192="Done"),COUNTIFS($B$2:$B192,"&lt;&gt;",$F$2:$F192,"Done"),"")</f>
        <v/>
      </c>
      <c r="O192">
        <f>IF($B192="","",$B192&amp;"  |  "&amp;IF($D192="","담당자 미지정",$D192)&amp;IF($H192="",""," · ~"&amp;TEXT($H192,"m/d"))&amp;IF($E192="높음"," 🔺","")&amp;IF(AND($F192&lt;&gt;"Done",$H192&lt;&gt;"",$H192&lt;TODAY())," ⚠",""))</f>
        <v/>
      </c>
    </row>
    <row r="193">
      <c r="A193" s="33">
        <f>IF($B193="","",COUNTA($B$2:$B193))</f>
        <v/>
      </c>
      <c r="B193" s="34" t="n"/>
      <c r="C193" s="34" t="n"/>
      <c r="D193" s="33" t="n"/>
      <c r="E193" s="33" t="n"/>
      <c r="F193" s="33" t="n"/>
      <c r="G193" s="35" t="n"/>
      <c r="H193" s="35" t="n"/>
      <c r="I193" s="36" t="n"/>
      <c r="J193" s="33">
        <f>IF($B193="","",IF($F193="Done","✔ 완료",IF($H193="","—",IF($H193&lt;TODAY(),"⚠ "&amp;(TODAY()-$H193)&amp;"일 지연",IF($H193=TODAY(),"🔔 오늘 마감","D-"&amp;($H193-TODAY()))))))</f>
        <v/>
      </c>
      <c r="K193" s="34" t="n"/>
      <c r="L193">
        <f>IF(AND($B193&lt;&gt;"",$F193="To Do"),COUNTIFS($B$2:$B193,"&lt;&gt;",$F$2:$F193,"To Do"),"")</f>
        <v/>
      </c>
      <c r="M193">
        <f>IF(AND($B193&lt;&gt;"",$F193="Doing"),COUNTIFS($B$2:$B193,"&lt;&gt;",$F$2:$F193,"Doing"),"")</f>
        <v/>
      </c>
      <c r="N193">
        <f>IF(AND($B193&lt;&gt;"",$F193="Done"),COUNTIFS($B$2:$B193,"&lt;&gt;",$F$2:$F193,"Done"),"")</f>
        <v/>
      </c>
      <c r="O193">
        <f>IF($B193="","",$B193&amp;"  |  "&amp;IF($D193="","담당자 미지정",$D193)&amp;IF($H193="",""," · ~"&amp;TEXT($H193,"m/d"))&amp;IF($E193="높음"," 🔺","")&amp;IF(AND($F193&lt;&gt;"Done",$H193&lt;&gt;"",$H193&lt;TODAY())," ⚠",""))</f>
        <v/>
      </c>
    </row>
    <row r="194">
      <c r="A194" s="33">
        <f>IF($B194="","",COUNTA($B$2:$B194))</f>
        <v/>
      </c>
      <c r="B194" s="34" t="n"/>
      <c r="C194" s="34" t="n"/>
      <c r="D194" s="33" t="n"/>
      <c r="E194" s="33" t="n"/>
      <c r="F194" s="33" t="n"/>
      <c r="G194" s="35" t="n"/>
      <c r="H194" s="35" t="n"/>
      <c r="I194" s="36" t="n"/>
      <c r="J194" s="33">
        <f>IF($B194="","",IF($F194="Done","✔ 완료",IF($H194="","—",IF($H194&lt;TODAY(),"⚠ "&amp;(TODAY()-$H194)&amp;"일 지연",IF($H194=TODAY(),"🔔 오늘 마감","D-"&amp;($H194-TODAY()))))))</f>
        <v/>
      </c>
      <c r="K194" s="34" t="n"/>
      <c r="L194">
        <f>IF(AND($B194&lt;&gt;"",$F194="To Do"),COUNTIFS($B$2:$B194,"&lt;&gt;",$F$2:$F194,"To Do"),"")</f>
        <v/>
      </c>
      <c r="M194">
        <f>IF(AND($B194&lt;&gt;"",$F194="Doing"),COUNTIFS($B$2:$B194,"&lt;&gt;",$F$2:$F194,"Doing"),"")</f>
        <v/>
      </c>
      <c r="N194">
        <f>IF(AND($B194&lt;&gt;"",$F194="Done"),COUNTIFS($B$2:$B194,"&lt;&gt;",$F$2:$F194,"Done"),"")</f>
        <v/>
      </c>
      <c r="O194">
        <f>IF($B194="","",$B194&amp;"  |  "&amp;IF($D194="","담당자 미지정",$D194)&amp;IF($H194="",""," · ~"&amp;TEXT($H194,"m/d"))&amp;IF($E194="높음"," 🔺","")&amp;IF(AND($F194&lt;&gt;"Done",$H194&lt;&gt;"",$H194&lt;TODAY())," ⚠",""))</f>
        <v/>
      </c>
    </row>
    <row r="195">
      <c r="A195" s="33">
        <f>IF($B195="","",COUNTA($B$2:$B195))</f>
        <v/>
      </c>
      <c r="B195" s="34" t="n"/>
      <c r="C195" s="34" t="n"/>
      <c r="D195" s="33" t="n"/>
      <c r="E195" s="33" t="n"/>
      <c r="F195" s="33" t="n"/>
      <c r="G195" s="35" t="n"/>
      <c r="H195" s="35" t="n"/>
      <c r="I195" s="36" t="n"/>
      <c r="J195" s="33">
        <f>IF($B195="","",IF($F195="Done","✔ 완료",IF($H195="","—",IF($H195&lt;TODAY(),"⚠ "&amp;(TODAY()-$H195)&amp;"일 지연",IF($H195=TODAY(),"🔔 오늘 마감","D-"&amp;($H195-TODAY()))))))</f>
        <v/>
      </c>
      <c r="K195" s="34" t="n"/>
      <c r="L195">
        <f>IF(AND($B195&lt;&gt;"",$F195="To Do"),COUNTIFS($B$2:$B195,"&lt;&gt;",$F$2:$F195,"To Do"),"")</f>
        <v/>
      </c>
      <c r="M195">
        <f>IF(AND($B195&lt;&gt;"",$F195="Doing"),COUNTIFS($B$2:$B195,"&lt;&gt;",$F$2:$F195,"Doing"),"")</f>
        <v/>
      </c>
      <c r="N195">
        <f>IF(AND($B195&lt;&gt;"",$F195="Done"),COUNTIFS($B$2:$B195,"&lt;&gt;",$F$2:$F195,"Done"),"")</f>
        <v/>
      </c>
      <c r="O195">
        <f>IF($B195="","",$B195&amp;"  |  "&amp;IF($D195="","담당자 미지정",$D195)&amp;IF($H195="",""," · ~"&amp;TEXT($H195,"m/d"))&amp;IF($E195="높음"," 🔺","")&amp;IF(AND($F195&lt;&gt;"Done",$H195&lt;&gt;"",$H195&lt;TODAY())," ⚠",""))</f>
        <v/>
      </c>
    </row>
    <row r="196">
      <c r="A196" s="33">
        <f>IF($B196="","",COUNTA($B$2:$B196))</f>
        <v/>
      </c>
      <c r="B196" s="34" t="n"/>
      <c r="C196" s="34" t="n"/>
      <c r="D196" s="33" t="n"/>
      <c r="E196" s="33" t="n"/>
      <c r="F196" s="33" t="n"/>
      <c r="G196" s="35" t="n"/>
      <c r="H196" s="35" t="n"/>
      <c r="I196" s="36" t="n"/>
      <c r="J196" s="33">
        <f>IF($B196="","",IF($F196="Done","✔ 완료",IF($H196="","—",IF($H196&lt;TODAY(),"⚠ "&amp;(TODAY()-$H196)&amp;"일 지연",IF($H196=TODAY(),"🔔 오늘 마감","D-"&amp;($H196-TODAY()))))))</f>
        <v/>
      </c>
      <c r="K196" s="34" t="n"/>
      <c r="L196">
        <f>IF(AND($B196&lt;&gt;"",$F196="To Do"),COUNTIFS($B$2:$B196,"&lt;&gt;",$F$2:$F196,"To Do"),"")</f>
        <v/>
      </c>
      <c r="M196">
        <f>IF(AND($B196&lt;&gt;"",$F196="Doing"),COUNTIFS($B$2:$B196,"&lt;&gt;",$F$2:$F196,"Doing"),"")</f>
        <v/>
      </c>
      <c r="N196">
        <f>IF(AND($B196&lt;&gt;"",$F196="Done"),COUNTIFS($B$2:$B196,"&lt;&gt;",$F$2:$F196,"Done"),"")</f>
        <v/>
      </c>
      <c r="O196">
        <f>IF($B196="","",$B196&amp;"  |  "&amp;IF($D196="","담당자 미지정",$D196)&amp;IF($H196="",""," · ~"&amp;TEXT($H196,"m/d"))&amp;IF($E196="높음"," 🔺","")&amp;IF(AND($F196&lt;&gt;"Done",$H196&lt;&gt;"",$H196&lt;TODAY())," ⚠",""))</f>
        <v/>
      </c>
    </row>
    <row r="197">
      <c r="A197" s="33">
        <f>IF($B197="","",COUNTA($B$2:$B197))</f>
        <v/>
      </c>
      <c r="B197" s="34" t="n"/>
      <c r="C197" s="34" t="n"/>
      <c r="D197" s="33" t="n"/>
      <c r="E197" s="33" t="n"/>
      <c r="F197" s="33" t="n"/>
      <c r="G197" s="35" t="n"/>
      <c r="H197" s="35" t="n"/>
      <c r="I197" s="36" t="n"/>
      <c r="J197" s="33">
        <f>IF($B197="","",IF($F197="Done","✔ 완료",IF($H197="","—",IF($H197&lt;TODAY(),"⚠ "&amp;(TODAY()-$H197)&amp;"일 지연",IF($H197=TODAY(),"🔔 오늘 마감","D-"&amp;($H197-TODAY()))))))</f>
        <v/>
      </c>
      <c r="K197" s="34" t="n"/>
      <c r="L197">
        <f>IF(AND($B197&lt;&gt;"",$F197="To Do"),COUNTIFS($B$2:$B197,"&lt;&gt;",$F$2:$F197,"To Do"),"")</f>
        <v/>
      </c>
      <c r="M197">
        <f>IF(AND($B197&lt;&gt;"",$F197="Doing"),COUNTIFS($B$2:$B197,"&lt;&gt;",$F$2:$F197,"Doing"),"")</f>
        <v/>
      </c>
      <c r="N197">
        <f>IF(AND($B197&lt;&gt;"",$F197="Done"),COUNTIFS($B$2:$B197,"&lt;&gt;",$F$2:$F197,"Done"),"")</f>
        <v/>
      </c>
      <c r="O197">
        <f>IF($B197="","",$B197&amp;"  |  "&amp;IF($D197="","담당자 미지정",$D197)&amp;IF($H197="",""," · ~"&amp;TEXT($H197,"m/d"))&amp;IF($E197="높음"," 🔺","")&amp;IF(AND($F197&lt;&gt;"Done",$H197&lt;&gt;"",$H197&lt;TODAY())," ⚠",""))</f>
        <v/>
      </c>
    </row>
    <row r="198">
      <c r="A198" s="33">
        <f>IF($B198="","",COUNTA($B$2:$B198))</f>
        <v/>
      </c>
      <c r="B198" s="34" t="n"/>
      <c r="C198" s="34" t="n"/>
      <c r="D198" s="33" t="n"/>
      <c r="E198" s="33" t="n"/>
      <c r="F198" s="33" t="n"/>
      <c r="G198" s="35" t="n"/>
      <c r="H198" s="35" t="n"/>
      <c r="I198" s="36" t="n"/>
      <c r="J198" s="33">
        <f>IF($B198="","",IF($F198="Done","✔ 완료",IF($H198="","—",IF($H198&lt;TODAY(),"⚠ "&amp;(TODAY()-$H198)&amp;"일 지연",IF($H198=TODAY(),"🔔 오늘 마감","D-"&amp;($H198-TODAY()))))))</f>
        <v/>
      </c>
      <c r="K198" s="34" t="n"/>
      <c r="L198">
        <f>IF(AND($B198&lt;&gt;"",$F198="To Do"),COUNTIFS($B$2:$B198,"&lt;&gt;",$F$2:$F198,"To Do"),"")</f>
        <v/>
      </c>
      <c r="M198">
        <f>IF(AND($B198&lt;&gt;"",$F198="Doing"),COUNTIFS($B$2:$B198,"&lt;&gt;",$F$2:$F198,"Doing"),"")</f>
        <v/>
      </c>
      <c r="N198">
        <f>IF(AND($B198&lt;&gt;"",$F198="Done"),COUNTIFS($B$2:$B198,"&lt;&gt;",$F$2:$F198,"Done"),"")</f>
        <v/>
      </c>
      <c r="O198">
        <f>IF($B198="","",$B198&amp;"  |  "&amp;IF($D198="","담당자 미지정",$D198)&amp;IF($H198="",""," · ~"&amp;TEXT($H198,"m/d"))&amp;IF($E198="높음"," 🔺","")&amp;IF(AND($F198&lt;&gt;"Done",$H198&lt;&gt;"",$H198&lt;TODAY())," ⚠",""))</f>
        <v/>
      </c>
    </row>
    <row r="199">
      <c r="A199" s="33">
        <f>IF($B199="","",COUNTA($B$2:$B199))</f>
        <v/>
      </c>
      <c r="B199" s="34" t="n"/>
      <c r="C199" s="34" t="n"/>
      <c r="D199" s="33" t="n"/>
      <c r="E199" s="33" t="n"/>
      <c r="F199" s="33" t="n"/>
      <c r="G199" s="35" t="n"/>
      <c r="H199" s="35" t="n"/>
      <c r="I199" s="36" t="n"/>
      <c r="J199" s="33">
        <f>IF($B199="","",IF($F199="Done","✔ 완료",IF($H199="","—",IF($H199&lt;TODAY(),"⚠ "&amp;(TODAY()-$H199)&amp;"일 지연",IF($H199=TODAY(),"🔔 오늘 마감","D-"&amp;($H199-TODAY()))))))</f>
        <v/>
      </c>
      <c r="K199" s="34" t="n"/>
      <c r="L199">
        <f>IF(AND($B199&lt;&gt;"",$F199="To Do"),COUNTIFS($B$2:$B199,"&lt;&gt;",$F$2:$F199,"To Do"),"")</f>
        <v/>
      </c>
      <c r="M199">
        <f>IF(AND($B199&lt;&gt;"",$F199="Doing"),COUNTIFS($B$2:$B199,"&lt;&gt;",$F$2:$F199,"Doing"),"")</f>
        <v/>
      </c>
      <c r="N199">
        <f>IF(AND($B199&lt;&gt;"",$F199="Done"),COUNTIFS($B$2:$B199,"&lt;&gt;",$F$2:$F199,"Done"),"")</f>
        <v/>
      </c>
      <c r="O199">
        <f>IF($B199="","",$B199&amp;"  |  "&amp;IF($D199="","담당자 미지정",$D199)&amp;IF($H199="",""," · ~"&amp;TEXT($H199,"m/d"))&amp;IF($E199="높음"," 🔺","")&amp;IF(AND($F199&lt;&gt;"Done",$H199&lt;&gt;"",$H199&lt;TODAY())," ⚠",""))</f>
        <v/>
      </c>
    </row>
    <row r="200">
      <c r="A200" s="33">
        <f>IF($B200="","",COUNTA($B$2:$B200))</f>
        <v/>
      </c>
      <c r="B200" s="34" t="n"/>
      <c r="C200" s="34" t="n"/>
      <c r="D200" s="33" t="n"/>
      <c r="E200" s="33" t="n"/>
      <c r="F200" s="33" t="n"/>
      <c r="G200" s="35" t="n"/>
      <c r="H200" s="35" t="n"/>
      <c r="I200" s="36" t="n"/>
      <c r="J200" s="33">
        <f>IF($B200="","",IF($F200="Done","✔ 완료",IF($H200="","—",IF($H200&lt;TODAY(),"⚠ "&amp;(TODAY()-$H200)&amp;"일 지연",IF($H200=TODAY(),"🔔 오늘 마감","D-"&amp;($H200-TODAY()))))))</f>
        <v/>
      </c>
      <c r="K200" s="34" t="n"/>
      <c r="L200">
        <f>IF(AND($B200&lt;&gt;"",$F200="To Do"),COUNTIFS($B$2:$B200,"&lt;&gt;",$F$2:$F200,"To Do"),"")</f>
        <v/>
      </c>
      <c r="M200">
        <f>IF(AND($B200&lt;&gt;"",$F200="Doing"),COUNTIFS($B$2:$B200,"&lt;&gt;",$F$2:$F200,"Doing"),"")</f>
        <v/>
      </c>
      <c r="N200">
        <f>IF(AND($B200&lt;&gt;"",$F200="Done"),COUNTIFS($B$2:$B200,"&lt;&gt;",$F$2:$F200,"Done"),"")</f>
        <v/>
      </c>
      <c r="O200">
        <f>IF($B200="","",$B200&amp;"  |  "&amp;IF($D200="","담당자 미지정",$D200)&amp;IF($H200="",""," · ~"&amp;TEXT($H200,"m/d"))&amp;IF($E200="높음"," 🔺","")&amp;IF(AND($F200&lt;&gt;"Done",$H200&lt;&gt;"",$H200&lt;TODAY())," ⚠",""))</f>
        <v/>
      </c>
    </row>
    <row r="201">
      <c r="A201" s="33">
        <f>IF($B201="","",COUNTA($B$2:$B201))</f>
        <v/>
      </c>
      <c r="B201" s="34" t="n"/>
      <c r="C201" s="34" t="n"/>
      <c r="D201" s="33" t="n"/>
      <c r="E201" s="33" t="n"/>
      <c r="F201" s="33" t="n"/>
      <c r="G201" s="35" t="n"/>
      <c r="H201" s="35" t="n"/>
      <c r="I201" s="36" t="n"/>
      <c r="J201" s="33">
        <f>IF($B201="","",IF($F201="Done","✔ 완료",IF($H201="","—",IF($H201&lt;TODAY(),"⚠ "&amp;(TODAY()-$H201)&amp;"일 지연",IF($H201=TODAY(),"🔔 오늘 마감","D-"&amp;($H201-TODAY()))))))</f>
        <v/>
      </c>
      <c r="K201" s="34" t="n"/>
      <c r="L201">
        <f>IF(AND($B201&lt;&gt;"",$F201="To Do"),COUNTIFS($B$2:$B201,"&lt;&gt;",$F$2:$F201,"To Do"),"")</f>
        <v/>
      </c>
      <c r="M201">
        <f>IF(AND($B201&lt;&gt;"",$F201="Doing"),COUNTIFS($B$2:$B201,"&lt;&gt;",$F$2:$F201,"Doing"),"")</f>
        <v/>
      </c>
      <c r="N201">
        <f>IF(AND($B201&lt;&gt;"",$F201="Done"),COUNTIFS($B$2:$B201,"&lt;&gt;",$F$2:$F201,"Done"),"")</f>
        <v/>
      </c>
      <c r="O201">
        <f>IF($B201="","",$B201&amp;"  |  "&amp;IF($D201="","담당자 미지정",$D201)&amp;IF($H201="",""," · ~"&amp;TEXT($H201,"m/d"))&amp;IF($E201="높음"," 🔺","")&amp;IF(AND($F201&lt;&gt;"Done",$H201&lt;&gt;"",$H201&lt;TODAY())," ⚠",""))</f>
        <v/>
      </c>
    </row>
  </sheetData>
  <autoFilter ref="A1:K201"/>
  <conditionalFormatting sqref="F2:F201">
    <cfRule type="cellIs" priority="1" operator="equal" dxfId="3">
      <formula>"To Do"</formula>
    </cfRule>
    <cfRule type="cellIs" priority="2" operator="equal" dxfId="4">
      <formula>"Doing"</formula>
    </cfRule>
    <cfRule type="cellIs" priority="3" operator="equal" dxfId="5">
      <formula>"Done"</formula>
    </cfRule>
  </conditionalFormatting>
  <conditionalFormatting sqref="E2:E201">
    <cfRule type="cellIs" priority="4" operator="equal" dxfId="6">
      <formula>"높음"</formula>
    </cfRule>
    <cfRule type="cellIs" priority="5" operator="equal" dxfId="7">
      <formula>"중간"</formula>
    </cfRule>
    <cfRule type="cellIs" priority="6" operator="equal" dxfId="8">
      <formula>"낮음"</formula>
    </cfRule>
  </conditionalFormatting>
  <conditionalFormatting sqref="J2:J201">
    <cfRule type="expression" priority="7" dxfId="9">
      <formula>AND($B2&lt;&gt;"",$F2&lt;&gt;"Done",$H2&lt;&gt;"",$H2&lt;TODAY())</formula>
    </cfRule>
  </conditionalFormatting>
  <conditionalFormatting sqref="A2:K201">
    <cfRule type="expression" priority="8" dxfId="10">
      <formula>AND($B2&lt;&gt;"",$F2&lt;&gt;"Done",$H2&lt;&gt;"",$H2&lt;TODAY())</formula>
    </cfRule>
    <cfRule type="expression" priority="9" dxfId="8">
      <formula>AND($B2&lt;&gt;"",$F2="Done")</formula>
    </cfRule>
  </conditionalFormatting>
  <conditionalFormatting sqref="I2:I201">
    <cfRule type="dataBar" priority="10">
      <dataBar showValue="1">
        <cfvo type="num" val="0"/>
        <cfvo type="num" val="100"/>
        <color rgb="002A78D6"/>
      </dataBar>
    </cfRule>
  </conditionalFormatting>
  <dataValidations count="5">
    <dataValidation sqref="D2:D201" showDropDown="0" showInputMessage="0" showErrorMessage="1" allowBlank="1" errorTitle="담당자 선택" error="설정 시트의 담당자 목록에서 선택하세요." type="list">
      <formula1>MemberList</formula1>
    </dataValidation>
    <dataValidation sqref="E2:E201" showDropDown="0" showInputMessage="0" showErrorMessage="1" allowBlank="1" errorTitle="우선순위 선택" error="높음 / 중간 / 낮음 중에서 선택하세요." type="list">
      <formula1>PriorityList</formula1>
    </dataValidation>
    <dataValidation sqref="F2:F201" showDropDown="0" showInputMessage="0" showErrorMessage="1" allowBlank="1" errorTitle="상태 선택" error="To Do / Doing / Done 중에서 선택하세요." type="list">
      <formula1>StatusList</formula1>
    </dataValidation>
    <dataValidation sqref="G2:H201" showDropDown="0" showInputMessage="0" showErrorMessage="1" allowBlank="1" errorTitle="날짜 입력" error="날짜 형식으로 입력하세요. 예: 2026-07-10" type="date" operator="between">
      <formula1>36526</formula1>
      <formula2>73415</formula2>
    </dataValidation>
    <dataValidation sqref="I2:I201" showDropDown="0" showInputMessage="0" showErrorMessage="1" allowBlank="1" errorTitle="진행률" error="0~100 사이 숫자로 입력하세요." type="whole" operator="between">
      <formula1>0</formula1>
      <formula2>100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98781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37" t="inlineStr">
        <is>
          <t>⚙️ 설정 — 드롭다운 목록 관리</t>
        </is>
      </c>
    </row>
    <row r="2">
      <c r="A2" s="25" t="inlineStr">
        <is>
          <t>담당자만 수정하세요. 상태/우선순위는 수식과 연결되어 있어 바꾸면 안 됩니다.</t>
        </is>
      </c>
    </row>
    <row r="3">
      <c r="A3" s="38" t="inlineStr">
        <is>
          <t>상태 (변경 금지)</t>
        </is>
      </c>
      <c r="B3" s="38" t="inlineStr">
        <is>
          <t>우선순위 (변경 금지)</t>
        </is>
      </c>
      <c r="C3" s="39" t="inlineStr">
        <is>
          <t>담당자 (자유롭게 수정)</t>
        </is>
      </c>
    </row>
    <row r="4">
      <c r="A4" s="40" t="inlineStr">
        <is>
          <t>To Do</t>
        </is>
      </c>
      <c r="B4" s="40" t="inlineStr">
        <is>
          <t>높음</t>
        </is>
      </c>
      <c r="C4" s="41" t="inlineStr">
        <is>
          <t>김민준</t>
        </is>
      </c>
    </row>
    <row r="5">
      <c r="A5" s="40" t="inlineStr">
        <is>
          <t>Doing</t>
        </is>
      </c>
      <c r="B5" s="40" t="inlineStr">
        <is>
          <t>중간</t>
        </is>
      </c>
      <c r="C5" s="41" t="inlineStr">
        <is>
          <t>이서연</t>
        </is>
      </c>
    </row>
    <row r="6">
      <c r="A6" s="40" t="inlineStr">
        <is>
          <t>Done</t>
        </is>
      </c>
      <c r="B6" s="40" t="inlineStr">
        <is>
          <t>낮음</t>
        </is>
      </c>
      <c r="C6" s="41" t="inlineStr">
        <is>
          <t>박지훈</t>
        </is>
      </c>
    </row>
    <row r="7">
      <c r="C7" s="41" t="inlineStr">
        <is>
          <t>최수아</t>
        </is>
      </c>
    </row>
    <row r="8">
      <c r="C8" s="41" t="inlineStr">
        <is>
          <t>정다은</t>
        </is>
      </c>
    </row>
    <row r="9">
      <c r="C9" s="42" t="n"/>
    </row>
    <row r="10">
      <c r="C10" s="42" t="n"/>
    </row>
    <row r="11">
      <c r="C11" s="42" t="n"/>
    </row>
    <row r="12">
      <c r="C12" s="42" t="n"/>
    </row>
    <row r="13">
      <c r="C13" s="42" t="n"/>
    </row>
    <row r="16">
      <c r="A16" s="25" t="inlineStr">
        <is>
          <t>※ 담당자는 최대 10명까지(C4~C13). 이름을 바꾸면 업무목록 드롭다운과 대시보드에 바로 반영됩니다.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PM 업무관리 대시보드</dc:title>
  <dc:description>To Do / Doing / Done 칸반 방식 일정관리 툴</dc:description>
  <dcterms:created xsi:type="dcterms:W3CDTF">2026-07-02T01:47:36Z</dcterms:created>
  <dcterms:modified xsi:type="dcterms:W3CDTF">2026-07-02T01:47:36Z</dcterms:modified>
</cp:coreProperties>
</file>